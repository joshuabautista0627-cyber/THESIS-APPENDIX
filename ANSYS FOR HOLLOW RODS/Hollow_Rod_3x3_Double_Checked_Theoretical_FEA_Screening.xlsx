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9bb3952252807dc/Documents/"/>
    </mc:Choice>
  </mc:AlternateContent>
  <xr:revisionPtr revIDLastSave="21" documentId="11_36453F7334D20ACC34055C0099F25CD3935E07EB" xr6:coauthVersionLast="47" xr6:coauthVersionMax="47" xr10:uidLastSave="{D961B8B1-3918-47DD-A11B-B7B863993463}"/>
  <bookViews>
    <workbookView xWindow="-110" yWindow="-110" windowWidth="25820" windowHeight="15500" firstSheet="1" activeTab="6" xr2:uid="{00000000-000D-0000-FFFF-FFFF00000000}"/>
  </bookViews>
  <sheets>
    <sheet name="Executive_Summary" sheetId="1" r:id="rId1"/>
    <sheet name="Inputs_Theory" sheetId="2" r:id="rId2"/>
    <sheet name="Theoretical_Calc" sheetId="3" r:id="rId3"/>
    <sheet name="FEA_Setup_QA" sheetId="4" r:id="rId4"/>
    <sheet name="FEA_Raw" sheetId="5" r:id="rId5"/>
    <sheet name="Derived_Metrics" sheetId="6" r:id="rId6"/>
    <sheet name="Combined_Ranking" sheetId="7" r:id="rId7"/>
    <sheet name="Factor_Effects" sheetId="8" r:id="rId8"/>
    <sheet name="Force_Curves" sheetId="9" r:id="rId9"/>
    <sheet name="Run_by_Run" sheetId="10" r:id="rId10"/>
    <sheet name="Source_Index" sheetId="11" r:id="rId11"/>
    <sheet name="Calculation_Audi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7" l="1"/>
  <c r="N5" i="7"/>
  <c r="N12" i="7"/>
  <c r="N11" i="7"/>
  <c r="N10" i="7"/>
  <c r="N9" i="7"/>
  <c r="N8" i="7"/>
  <c r="N7" i="7"/>
  <c r="N6" i="7"/>
  <c r="M7" i="7"/>
  <c r="M8" i="7"/>
  <c r="M9" i="7"/>
  <c r="M10" i="7"/>
  <c r="M11" i="7"/>
  <c r="M12" i="7"/>
  <c r="M5" i="7"/>
  <c r="M4" i="7"/>
  <c r="C124" i="12"/>
  <c r="E124" i="12" s="1"/>
  <c r="C122" i="12"/>
  <c r="E122" i="12" s="1"/>
  <c r="C116" i="12"/>
  <c r="E116" i="12" s="1"/>
  <c r="C111" i="12"/>
  <c r="E111" i="12" s="1"/>
  <c r="C109" i="12"/>
  <c r="E109" i="12" s="1"/>
  <c r="C103" i="12"/>
  <c r="E103" i="12" s="1"/>
  <c r="C98" i="12"/>
  <c r="E98" i="12" s="1"/>
  <c r="C96" i="12"/>
  <c r="E96" i="12" s="1"/>
  <c r="C90" i="12"/>
  <c r="E90" i="12" s="1"/>
  <c r="C85" i="12"/>
  <c r="E85" i="12" s="1"/>
  <c r="C83" i="12"/>
  <c r="E83" i="12" s="1"/>
  <c r="C77" i="12"/>
  <c r="E77" i="12" s="1"/>
  <c r="C72" i="12"/>
  <c r="E72" i="12" s="1"/>
  <c r="C70" i="12"/>
  <c r="E70" i="12" s="1"/>
  <c r="C64" i="12"/>
  <c r="E64" i="12" s="1"/>
  <c r="C59" i="12"/>
  <c r="E59" i="12" s="1"/>
  <c r="C57" i="12"/>
  <c r="E57" i="12" s="1"/>
  <c r="C51" i="12"/>
  <c r="E51" i="12" s="1"/>
  <c r="C46" i="12"/>
  <c r="E46" i="12" s="1"/>
  <c r="C44" i="12"/>
  <c r="E44" i="12" s="1"/>
  <c r="C38" i="12"/>
  <c r="E38" i="12" s="1"/>
  <c r="C33" i="12"/>
  <c r="E33" i="12" s="1"/>
  <c r="C31" i="12"/>
  <c r="E31" i="12" s="1"/>
  <c r="C25" i="12"/>
  <c r="E25" i="12" s="1"/>
  <c r="C20" i="12"/>
  <c r="E20" i="12" s="1"/>
  <c r="C18" i="12"/>
  <c r="E18" i="12" s="1"/>
  <c r="C12" i="12"/>
  <c r="E12" i="12" s="1"/>
  <c r="D9" i="8"/>
  <c r="C9" i="8"/>
  <c r="D8" i="8"/>
  <c r="C8" i="8"/>
  <c r="D7" i="8"/>
  <c r="C7" i="8"/>
  <c r="D6" i="8"/>
  <c r="C6" i="8"/>
  <c r="D5" i="8"/>
  <c r="C5" i="8"/>
  <c r="D4" i="8"/>
  <c r="C4" i="8"/>
  <c r="D9" i="7"/>
  <c r="C9" i="7"/>
  <c r="B9" i="7"/>
  <c r="C18" i="1" s="1"/>
  <c r="A9" i="7"/>
  <c r="B18" i="1" s="1"/>
  <c r="D7" i="7"/>
  <c r="C7" i="7"/>
  <c r="B7" i="7"/>
  <c r="C20" i="1" s="1"/>
  <c r="A7" i="7"/>
  <c r="B20" i="1" s="1"/>
  <c r="D6" i="7"/>
  <c r="C6" i="7"/>
  <c r="B6" i="7"/>
  <c r="A6" i="7"/>
  <c r="D4" i="7"/>
  <c r="C4" i="7"/>
  <c r="B4" i="7"/>
  <c r="A4" i="7"/>
  <c r="U12" i="6"/>
  <c r="F21" i="1" s="1"/>
  <c r="T12" i="6"/>
  <c r="E21" i="1" s="1"/>
  <c r="R12" i="6"/>
  <c r="Q12" i="6"/>
  <c r="J12" i="6"/>
  <c r="I12" i="6"/>
  <c r="G12" i="6"/>
  <c r="H12" i="6" s="1"/>
  <c r="G21" i="1" s="1"/>
  <c r="E12" i="6"/>
  <c r="D12" i="6"/>
  <c r="C12" i="6"/>
  <c r="C12" i="7" s="1"/>
  <c r="B12" i="6"/>
  <c r="B12" i="7" s="1"/>
  <c r="C21" i="1" s="1"/>
  <c r="A12" i="6"/>
  <c r="A12" i="7" s="1"/>
  <c r="B21" i="1" s="1"/>
  <c r="U11" i="6"/>
  <c r="T11" i="6"/>
  <c r="J11" i="6"/>
  <c r="I11" i="6"/>
  <c r="G11" i="6"/>
  <c r="H11" i="6" s="1"/>
  <c r="E11" i="6"/>
  <c r="D11" i="6"/>
  <c r="C11" i="6"/>
  <c r="C11" i="7" s="1"/>
  <c r="B11" i="6"/>
  <c r="B11" i="7" s="1"/>
  <c r="A11" i="6"/>
  <c r="A11" i="7" s="1"/>
  <c r="U10" i="6"/>
  <c r="T10" i="6"/>
  <c r="R10" i="6"/>
  <c r="Q10" i="6"/>
  <c r="J10" i="6"/>
  <c r="I10" i="6"/>
  <c r="G10" i="6"/>
  <c r="H10" i="6" s="1"/>
  <c r="E10" i="6"/>
  <c r="D10" i="6"/>
  <c r="C10" i="6"/>
  <c r="C10" i="7" s="1"/>
  <c r="B10" i="6"/>
  <c r="B10" i="7" s="1"/>
  <c r="C22" i="1" s="1"/>
  <c r="A10" i="6"/>
  <c r="A10" i="7" s="1"/>
  <c r="B22" i="1" s="1"/>
  <c r="V9" i="6"/>
  <c r="U9" i="6"/>
  <c r="T9" i="6"/>
  <c r="J9" i="6"/>
  <c r="I9" i="6"/>
  <c r="G9" i="6"/>
  <c r="H9" i="6" s="1"/>
  <c r="G18" i="1" s="1"/>
  <c r="E9" i="6"/>
  <c r="D9" i="6"/>
  <c r="C9" i="6"/>
  <c r="B9" i="6"/>
  <c r="A9" i="6"/>
  <c r="U8" i="6"/>
  <c r="F19" i="1" s="1"/>
  <c r="T8" i="6"/>
  <c r="E19" i="1" s="1"/>
  <c r="R8" i="6"/>
  <c r="Q8" i="6"/>
  <c r="J8" i="6"/>
  <c r="I8" i="6"/>
  <c r="G8" i="6"/>
  <c r="H8" i="6" s="1"/>
  <c r="G19" i="1" s="1"/>
  <c r="E8" i="6"/>
  <c r="D8" i="6"/>
  <c r="C8" i="6"/>
  <c r="C8" i="7" s="1"/>
  <c r="B8" i="6"/>
  <c r="B8" i="7" s="1"/>
  <c r="C19" i="1" s="1"/>
  <c r="A8" i="6"/>
  <c r="A8" i="7" s="1"/>
  <c r="B19" i="1" s="1"/>
  <c r="V7" i="6"/>
  <c r="U7" i="6"/>
  <c r="T7" i="6"/>
  <c r="J7" i="6"/>
  <c r="I7" i="6"/>
  <c r="G7" i="6"/>
  <c r="H7" i="6" s="1"/>
  <c r="E7" i="6"/>
  <c r="D7" i="6"/>
  <c r="C7" i="6"/>
  <c r="B7" i="6"/>
  <c r="A7" i="6"/>
  <c r="U6" i="6"/>
  <c r="T6" i="6"/>
  <c r="R6" i="6"/>
  <c r="Q6" i="6"/>
  <c r="J6" i="6"/>
  <c r="I6" i="6"/>
  <c r="G6" i="6"/>
  <c r="H6" i="6" s="1"/>
  <c r="E6" i="6"/>
  <c r="D6" i="6"/>
  <c r="V6" i="6" s="1"/>
  <c r="C6" i="6"/>
  <c r="B6" i="6"/>
  <c r="A6" i="6"/>
  <c r="U5" i="6"/>
  <c r="T5" i="6"/>
  <c r="J5" i="6"/>
  <c r="I5" i="6"/>
  <c r="G5" i="6"/>
  <c r="H5" i="6" s="1"/>
  <c r="E5" i="6"/>
  <c r="D5" i="6"/>
  <c r="C5" i="6"/>
  <c r="C5" i="7" s="1"/>
  <c r="B5" i="6"/>
  <c r="B5" i="7" s="1"/>
  <c r="A5" i="6"/>
  <c r="A5" i="7" s="1"/>
  <c r="U4" i="6"/>
  <c r="T4" i="6"/>
  <c r="R4" i="6"/>
  <c r="Q4" i="6"/>
  <c r="J4" i="6"/>
  <c r="I4" i="6"/>
  <c r="G4" i="6"/>
  <c r="H4" i="6" s="1"/>
  <c r="E4" i="6"/>
  <c r="D4" i="6"/>
  <c r="V4" i="6" s="1"/>
  <c r="C4" i="6"/>
  <c r="B4" i="6"/>
  <c r="A4" i="6"/>
  <c r="L12" i="3"/>
  <c r="J12" i="3"/>
  <c r="D12" i="3"/>
  <c r="L11" i="3"/>
  <c r="J11" i="3"/>
  <c r="Q11" i="6" s="1"/>
  <c r="D11" i="3"/>
  <c r="L10" i="3"/>
  <c r="J10" i="3"/>
  <c r="D10" i="3"/>
  <c r="L9" i="3"/>
  <c r="J9" i="3"/>
  <c r="Q9" i="6" s="1"/>
  <c r="D9" i="3"/>
  <c r="L8" i="3"/>
  <c r="J8" i="3"/>
  <c r="D8" i="3"/>
  <c r="L7" i="3"/>
  <c r="J7" i="3"/>
  <c r="Q7" i="6" s="1"/>
  <c r="D7" i="3"/>
  <c r="L6" i="3"/>
  <c r="J6" i="3"/>
  <c r="D6" i="3"/>
  <c r="L5" i="3"/>
  <c r="J5" i="3"/>
  <c r="Q5" i="6" s="1"/>
  <c r="D5" i="3"/>
  <c r="L4" i="3"/>
  <c r="J4" i="3"/>
  <c r="D4" i="3"/>
  <c r="B13" i="2"/>
  <c r="E9" i="2"/>
  <c r="E7" i="2"/>
  <c r="E8" i="2" s="1"/>
  <c r="I22" i="1"/>
  <c r="A22" i="1"/>
  <c r="I21" i="1"/>
  <c r="A21" i="1"/>
  <c r="I20" i="1"/>
  <c r="F20" i="1"/>
  <c r="E20" i="1"/>
  <c r="A20" i="1"/>
  <c r="I19" i="1"/>
  <c r="A19" i="1"/>
  <c r="I18" i="1"/>
  <c r="F18" i="1"/>
  <c r="E18" i="1"/>
  <c r="A18" i="1"/>
  <c r="G5" i="1"/>
  <c r="F124" i="12" l="1"/>
  <c r="G124" i="12"/>
  <c r="F122" i="12"/>
  <c r="G122" i="12"/>
  <c r="F116" i="12"/>
  <c r="G116" i="12"/>
  <c r="F111" i="12"/>
  <c r="G111" i="12"/>
  <c r="F109" i="12"/>
  <c r="G109" i="12"/>
  <c r="F103" i="12"/>
  <c r="G103" i="12" s="1"/>
  <c r="F98" i="12"/>
  <c r="G98" i="12" s="1"/>
  <c r="F96" i="12"/>
  <c r="G96" i="12" s="1"/>
  <c r="F90" i="12"/>
  <c r="G90" i="12"/>
  <c r="F85" i="12"/>
  <c r="G85" i="12" s="1"/>
  <c r="F83" i="12"/>
  <c r="G83" i="12"/>
  <c r="F77" i="12"/>
  <c r="G77" i="12" s="1"/>
  <c r="F72" i="12"/>
  <c r="G72" i="12"/>
  <c r="F70" i="12"/>
  <c r="G70" i="12" s="1"/>
  <c r="F64" i="12"/>
  <c r="G64" i="12" s="1"/>
  <c r="F59" i="12"/>
  <c r="G59" i="12"/>
  <c r="F57" i="12"/>
  <c r="G57" i="12"/>
  <c r="F51" i="12"/>
  <c r="G51" i="12" s="1"/>
  <c r="F46" i="12"/>
  <c r="G46" i="12"/>
  <c r="F44" i="12"/>
  <c r="G44" i="12"/>
  <c r="F38" i="12"/>
  <c r="G38" i="12"/>
  <c r="F33" i="12"/>
  <c r="G33" i="12" s="1"/>
  <c r="F31" i="12"/>
  <c r="G31" i="12" s="1"/>
  <c r="F25" i="12"/>
  <c r="G25" i="12"/>
  <c r="F20" i="12"/>
  <c r="G20" i="12" s="1"/>
  <c r="F18" i="12"/>
  <c r="G18" i="12" s="1"/>
  <c r="F12" i="12"/>
  <c r="G12" i="12" s="1"/>
  <c r="E9" i="8"/>
  <c r="H9" i="8"/>
  <c r="J9" i="8"/>
  <c r="I9" i="8"/>
  <c r="G9" i="8"/>
  <c r="I8" i="8"/>
  <c r="J8" i="8"/>
  <c r="E8" i="8"/>
  <c r="F8" i="8"/>
  <c r="G8" i="8"/>
  <c r="H8" i="8"/>
  <c r="F7" i="8"/>
  <c r="E7" i="8"/>
  <c r="H7" i="8"/>
  <c r="I7" i="8"/>
  <c r="J7" i="8"/>
  <c r="G7" i="8"/>
  <c r="J6" i="8"/>
  <c r="I6" i="8"/>
  <c r="H6" i="8"/>
  <c r="G6" i="8"/>
  <c r="E6" i="8"/>
  <c r="E5" i="8"/>
  <c r="J5" i="8"/>
  <c r="I5" i="8"/>
  <c r="G5" i="8"/>
  <c r="F5" i="8"/>
  <c r="H5" i="8"/>
  <c r="H4" i="8"/>
  <c r="F4" i="8"/>
  <c r="I4" i="8"/>
  <c r="G4" i="8"/>
  <c r="E4" i="8"/>
  <c r="J4" i="8"/>
  <c r="N12" i="6"/>
  <c r="M12" i="6"/>
  <c r="K12" i="6"/>
  <c r="L12" i="6" s="1"/>
  <c r="F12" i="6"/>
  <c r="D21" i="1"/>
  <c r="D12" i="7"/>
  <c r="V12" i="6"/>
  <c r="N11" i="6"/>
  <c r="K11" i="6"/>
  <c r="L11" i="6" s="1"/>
  <c r="F11" i="6"/>
  <c r="O11" i="6" s="1"/>
  <c r="M11" i="6"/>
  <c r="D11" i="7"/>
  <c r="V11" i="6"/>
  <c r="N10" i="6"/>
  <c r="M10" i="6"/>
  <c r="K10" i="6"/>
  <c r="L10" i="6" s="1"/>
  <c r="F10" i="6"/>
  <c r="V10" i="6"/>
  <c r="D10" i="7"/>
  <c r="G9" i="7"/>
  <c r="F9" i="6"/>
  <c r="K9" i="6"/>
  <c r="L9" i="6" s="1"/>
  <c r="E9" i="7" s="1"/>
  <c r="N9" i="6"/>
  <c r="M9" i="6"/>
  <c r="D18" i="1"/>
  <c r="M8" i="6"/>
  <c r="F8" i="6"/>
  <c r="N8" i="6"/>
  <c r="D19" i="1"/>
  <c r="V8" i="6"/>
  <c r="D8" i="7"/>
  <c r="G7" i="7"/>
  <c r="G20" i="1"/>
  <c r="F7" i="6"/>
  <c r="M7" i="6"/>
  <c r="D20" i="1"/>
  <c r="N7" i="6"/>
  <c r="F6" i="6"/>
  <c r="F6" i="7" s="1"/>
  <c r="N6" i="6"/>
  <c r="M6" i="6"/>
  <c r="G6" i="7"/>
  <c r="N5" i="6"/>
  <c r="M5" i="6"/>
  <c r="F5" i="6"/>
  <c r="D5" i="7"/>
  <c r="V5" i="6"/>
  <c r="N4" i="6"/>
  <c r="M4" i="6"/>
  <c r="F4" i="6"/>
  <c r="F4" i="7"/>
  <c r="G4" i="7"/>
  <c r="I12" i="3"/>
  <c r="F12" i="3"/>
  <c r="E12" i="3"/>
  <c r="I11" i="3"/>
  <c r="R11" i="6"/>
  <c r="E11" i="3"/>
  <c r="F11" i="3"/>
  <c r="F10" i="3"/>
  <c r="E10" i="3"/>
  <c r="I10" i="3"/>
  <c r="R9" i="6"/>
  <c r="E9" i="3"/>
  <c r="F9" i="3"/>
  <c r="I9" i="3"/>
  <c r="F8" i="3"/>
  <c r="E8" i="3"/>
  <c r="I8" i="3"/>
  <c r="I7" i="3"/>
  <c r="E7" i="3"/>
  <c r="K7" i="6" s="1"/>
  <c r="L7" i="6" s="1"/>
  <c r="E7" i="7" s="1"/>
  <c r="R7" i="6"/>
  <c r="F7" i="3"/>
  <c r="E6" i="3"/>
  <c r="K6" i="6" s="1"/>
  <c r="L6" i="6" s="1"/>
  <c r="E6" i="7" s="1"/>
  <c r="F6" i="3"/>
  <c r="I6" i="3"/>
  <c r="R5" i="6"/>
  <c r="I5" i="3"/>
  <c r="E5" i="3"/>
  <c r="F5" i="3"/>
  <c r="I4" i="3"/>
  <c r="E4" i="3"/>
  <c r="F4" i="3"/>
  <c r="M6" i="3"/>
  <c r="M9" i="3"/>
  <c r="M7" i="3"/>
  <c r="M10" i="3"/>
  <c r="M11" i="3"/>
  <c r="M12" i="3"/>
  <c r="E12" i="7" l="1"/>
  <c r="F12" i="7"/>
  <c r="G12" i="7"/>
  <c r="E11" i="7"/>
  <c r="F11" i="7"/>
  <c r="G11" i="7"/>
  <c r="I11" i="7"/>
  <c r="F10" i="7"/>
  <c r="H10" i="7"/>
  <c r="L10" i="7"/>
  <c r="O37" i="12" s="1"/>
  <c r="E10" i="7"/>
  <c r="G10" i="7"/>
  <c r="I10" i="7"/>
  <c r="J10" i="7"/>
  <c r="J37" i="12" s="1"/>
  <c r="K10" i="7"/>
  <c r="M37" i="12" s="1"/>
  <c r="E8" i="7"/>
  <c r="F8" i="7"/>
  <c r="G8" i="7"/>
  <c r="O7" i="6"/>
  <c r="F7" i="7"/>
  <c r="E5" i="7"/>
  <c r="F5" i="7"/>
  <c r="G5" i="7"/>
  <c r="S12" i="6"/>
  <c r="I12" i="7" s="1"/>
  <c r="C121" i="12"/>
  <c r="E121" i="12" s="1"/>
  <c r="G12" i="3"/>
  <c r="C119" i="12" s="1"/>
  <c r="E119" i="12" s="1"/>
  <c r="H12" i="3"/>
  <c r="C118" i="12"/>
  <c r="E118" i="12" s="1"/>
  <c r="R12" i="3"/>
  <c r="S12" i="3" s="1"/>
  <c r="C117" i="12"/>
  <c r="E117" i="12" s="1"/>
  <c r="S11" i="6"/>
  <c r="C108" i="12"/>
  <c r="E108" i="12" s="1"/>
  <c r="R11" i="3"/>
  <c r="S11" i="3" s="1"/>
  <c r="C104" i="12"/>
  <c r="E104" i="12" s="1"/>
  <c r="G11" i="3"/>
  <c r="C106" i="12" s="1"/>
  <c r="E106" i="12" s="1"/>
  <c r="H11" i="3"/>
  <c r="C105" i="12"/>
  <c r="E105" i="12" s="1"/>
  <c r="G10" i="3"/>
  <c r="C93" i="12" s="1"/>
  <c r="E93" i="12" s="1"/>
  <c r="H10" i="3"/>
  <c r="C92" i="12"/>
  <c r="E92" i="12" s="1"/>
  <c r="R10" i="3"/>
  <c r="S10" i="3" s="1"/>
  <c r="C91" i="12"/>
  <c r="E91" i="12" s="1"/>
  <c r="S10" i="6"/>
  <c r="C95" i="12"/>
  <c r="E95" i="12" s="1"/>
  <c r="R9" i="3"/>
  <c r="S9" i="3" s="1"/>
  <c r="C78" i="12"/>
  <c r="E78" i="12" s="1"/>
  <c r="G9" i="3"/>
  <c r="C80" i="12" s="1"/>
  <c r="E80" i="12" s="1"/>
  <c r="H9" i="3"/>
  <c r="C79" i="12"/>
  <c r="E79" i="12" s="1"/>
  <c r="S9" i="6"/>
  <c r="I9" i="7" s="1"/>
  <c r="C82" i="12"/>
  <c r="E82" i="12" s="1"/>
  <c r="C66" i="12"/>
  <c r="E66" i="12" s="1"/>
  <c r="G8" i="3"/>
  <c r="C67" i="12" s="1"/>
  <c r="E67" i="12" s="1"/>
  <c r="H8" i="3"/>
  <c r="R8" i="3"/>
  <c r="S8" i="3" s="1"/>
  <c r="C65" i="12"/>
  <c r="E65" i="12" s="1"/>
  <c r="S8" i="6"/>
  <c r="I8" i="7" s="1"/>
  <c r="C69" i="12"/>
  <c r="E69" i="12" s="1"/>
  <c r="S7" i="6"/>
  <c r="I7" i="7" s="1"/>
  <c r="C56" i="12"/>
  <c r="E56" i="12" s="1"/>
  <c r="R7" i="3"/>
  <c r="S7" i="3" s="1"/>
  <c r="C52" i="12"/>
  <c r="E52" i="12" s="1"/>
  <c r="H7" i="3"/>
  <c r="G7" i="3"/>
  <c r="C54" i="12" s="1"/>
  <c r="E54" i="12" s="1"/>
  <c r="C53" i="12"/>
  <c r="E53" i="12" s="1"/>
  <c r="R6" i="3"/>
  <c r="S6" i="3" s="1"/>
  <c r="C39" i="12"/>
  <c r="E39" i="12" s="1"/>
  <c r="G6" i="3"/>
  <c r="C41" i="12" s="1"/>
  <c r="E41" i="12" s="1"/>
  <c r="H6" i="3"/>
  <c r="C40" i="12"/>
  <c r="E40" i="12" s="1"/>
  <c r="S6" i="6"/>
  <c r="I6" i="7" s="1"/>
  <c r="C43" i="12"/>
  <c r="E43" i="12" s="1"/>
  <c r="S5" i="6"/>
  <c r="I5" i="7" s="1"/>
  <c r="C30" i="12"/>
  <c r="E30" i="12" s="1"/>
  <c r="R5" i="3"/>
  <c r="S5" i="3" s="1"/>
  <c r="C26" i="12"/>
  <c r="E26" i="12" s="1"/>
  <c r="G5" i="3"/>
  <c r="C28" i="12" s="1"/>
  <c r="E28" i="12" s="1"/>
  <c r="H5" i="3"/>
  <c r="C27" i="12"/>
  <c r="E27" i="12" s="1"/>
  <c r="S4" i="6"/>
  <c r="I4" i="7" s="1"/>
  <c r="C17" i="12"/>
  <c r="E17" i="12" s="1"/>
  <c r="R4" i="3"/>
  <c r="S4" i="3" s="1"/>
  <c r="C13" i="12"/>
  <c r="E13" i="12" s="1"/>
  <c r="H4" i="3"/>
  <c r="G4" i="3"/>
  <c r="C15" i="12" s="1"/>
  <c r="E15" i="12" s="1"/>
  <c r="C14" i="12"/>
  <c r="E14" i="12" s="1"/>
  <c r="N6" i="3"/>
  <c r="C48" i="12" s="1"/>
  <c r="E48" i="12" s="1"/>
  <c r="C47" i="12"/>
  <c r="E47" i="12" s="1"/>
  <c r="N9" i="3"/>
  <c r="C87" i="12" s="1"/>
  <c r="E87" i="12" s="1"/>
  <c r="C86" i="12"/>
  <c r="E86" i="12" s="1"/>
  <c r="C60" i="12"/>
  <c r="E60" i="12" s="1"/>
  <c r="N7" i="3"/>
  <c r="C61" i="12" s="1"/>
  <c r="E61" i="12" s="1"/>
  <c r="N10" i="3"/>
  <c r="C100" i="12" s="1"/>
  <c r="E100" i="12" s="1"/>
  <c r="C99" i="12"/>
  <c r="E99" i="12" s="1"/>
  <c r="N11" i="3"/>
  <c r="C113" i="12" s="1"/>
  <c r="E113" i="12" s="1"/>
  <c r="C112" i="12"/>
  <c r="E112" i="12" s="1"/>
  <c r="N12" i="3"/>
  <c r="C126" i="12" s="1"/>
  <c r="E126" i="12" s="1"/>
  <c r="C125" i="12"/>
  <c r="E125" i="12" s="1"/>
  <c r="O10" i="6"/>
  <c r="O6" i="6"/>
  <c r="O12" i="6"/>
  <c r="F9" i="8"/>
  <c r="F6" i="8"/>
  <c r="O9" i="6"/>
  <c r="F9" i="7"/>
  <c r="O12" i="3"/>
  <c r="P12" i="3"/>
  <c r="C128" i="12" s="1"/>
  <c r="E128" i="12" s="1"/>
  <c r="P11" i="3"/>
  <c r="C115" i="12" s="1"/>
  <c r="E115" i="12" s="1"/>
  <c r="O11" i="3"/>
  <c r="O10" i="3"/>
  <c r="P10" i="3"/>
  <c r="C102" i="12" s="1"/>
  <c r="E102" i="12" s="1"/>
  <c r="O9" i="3"/>
  <c r="P9" i="3"/>
  <c r="C89" i="12" s="1"/>
  <c r="E89" i="12" s="1"/>
  <c r="O8" i="3"/>
  <c r="P8" i="3"/>
  <c r="C76" i="12" s="1"/>
  <c r="E76" i="12" s="1"/>
  <c r="M8" i="3"/>
  <c r="K8" i="6"/>
  <c r="L8" i="6" s="1"/>
  <c r="P7" i="3"/>
  <c r="C63" i="12" s="1"/>
  <c r="E63" i="12" s="1"/>
  <c r="O7" i="3"/>
  <c r="O6" i="3"/>
  <c r="P6" i="3"/>
  <c r="C50" i="12" s="1"/>
  <c r="E50" i="12" s="1"/>
  <c r="M5" i="3"/>
  <c r="K5" i="6"/>
  <c r="L5" i="6" s="1"/>
  <c r="O5" i="3"/>
  <c r="P5" i="3"/>
  <c r="C37" i="12" s="1"/>
  <c r="E37" i="12" s="1"/>
  <c r="K4" i="6"/>
  <c r="L4" i="6" s="1"/>
  <c r="E4" i="7" s="1"/>
  <c r="M4" i="3"/>
  <c r="O4" i="3"/>
  <c r="P4" i="3"/>
  <c r="C24" i="12" s="1"/>
  <c r="E24" i="12" s="1"/>
  <c r="L37" i="12" l="1"/>
  <c r="Q37" i="12"/>
  <c r="F121" i="12"/>
  <c r="G121" i="12"/>
  <c r="F119" i="12"/>
  <c r="G119" i="12"/>
  <c r="K12" i="3"/>
  <c r="C123" i="12" s="1"/>
  <c r="E123" i="12" s="1"/>
  <c r="C120" i="12"/>
  <c r="E120" i="12" s="1"/>
  <c r="F118" i="12"/>
  <c r="G118" i="12"/>
  <c r="F117" i="12"/>
  <c r="G117" i="12"/>
  <c r="F108" i="12"/>
  <c r="G108" i="12" s="1"/>
  <c r="F104" i="12"/>
  <c r="G104" i="12"/>
  <c r="F106" i="12"/>
  <c r="G106" i="12" s="1"/>
  <c r="K11" i="3"/>
  <c r="C110" i="12" s="1"/>
  <c r="E110" i="12" s="1"/>
  <c r="C107" i="12"/>
  <c r="E107" i="12" s="1"/>
  <c r="F105" i="12"/>
  <c r="G105" i="12"/>
  <c r="F93" i="12"/>
  <c r="G93" i="12" s="1"/>
  <c r="K10" i="3"/>
  <c r="C97" i="12" s="1"/>
  <c r="E97" i="12" s="1"/>
  <c r="C94" i="12"/>
  <c r="E94" i="12" s="1"/>
  <c r="F92" i="12"/>
  <c r="G92" i="12" s="1"/>
  <c r="F91" i="12"/>
  <c r="G91" i="12"/>
  <c r="F95" i="12"/>
  <c r="G95" i="12"/>
  <c r="F78" i="12"/>
  <c r="G78" i="12" s="1"/>
  <c r="F80" i="12"/>
  <c r="G80" i="12" s="1"/>
  <c r="K9" i="3"/>
  <c r="C84" i="12" s="1"/>
  <c r="E84" i="12" s="1"/>
  <c r="C81" i="12"/>
  <c r="E81" i="12" s="1"/>
  <c r="F79" i="12"/>
  <c r="G79" i="12" s="1"/>
  <c r="F82" i="12"/>
  <c r="G82" i="12"/>
  <c r="F66" i="12"/>
  <c r="G66" i="12"/>
  <c r="F67" i="12"/>
  <c r="G67" i="12"/>
  <c r="K8" i="3"/>
  <c r="C71" i="12" s="1"/>
  <c r="E71" i="12" s="1"/>
  <c r="C68" i="12"/>
  <c r="E68" i="12" s="1"/>
  <c r="F65" i="12"/>
  <c r="G65" i="12"/>
  <c r="F69" i="12"/>
  <c r="G69" i="12" s="1"/>
  <c r="F56" i="12"/>
  <c r="G56" i="12"/>
  <c r="F52" i="12"/>
  <c r="G52" i="12" s="1"/>
  <c r="K7" i="3"/>
  <c r="C58" i="12" s="1"/>
  <c r="E58" i="12" s="1"/>
  <c r="C55" i="12"/>
  <c r="E55" i="12" s="1"/>
  <c r="F54" i="12"/>
  <c r="G54" i="12" s="1"/>
  <c r="F53" i="12"/>
  <c r="G53" i="12" s="1"/>
  <c r="F39" i="12"/>
  <c r="G39" i="12"/>
  <c r="F41" i="12"/>
  <c r="G41" i="12"/>
  <c r="K6" i="3"/>
  <c r="C45" i="12" s="1"/>
  <c r="E45" i="12" s="1"/>
  <c r="C42" i="12"/>
  <c r="E42" i="12" s="1"/>
  <c r="F40" i="12"/>
  <c r="G40" i="12"/>
  <c r="F43" i="12"/>
  <c r="G43" i="12"/>
  <c r="F30" i="12"/>
  <c r="G30" i="12"/>
  <c r="F26" i="12"/>
  <c r="G26" i="12"/>
  <c r="F28" i="12"/>
  <c r="G28" i="12"/>
  <c r="C29" i="12"/>
  <c r="E29" i="12" s="1"/>
  <c r="K5" i="3"/>
  <c r="C32" i="12" s="1"/>
  <c r="E32" i="12" s="1"/>
  <c r="F27" i="12"/>
  <c r="G27" i="12"/>
  <c r="F17" i="12"/>
  <c r="G17" i="12"/>
  <c r="F13" i="12"/>
  <c r="G13" i="12"/>
  <c r="K4" i="3"/>
  <c r="C19" i="12" s="1"/>
  <c r="E19" i="12" s="1"/>
  <c r="C16" i="12"/>
  <c r="E16" i="12" s="1"/>
  <c r="F15" i="12"/>
  <c r="G15" i="12" s="1"/>
  <c r="F14" i="12"/>
  <c r="G14" i="12" s="1"/>
  <c r="F48" i="12"/>
  <c r="G48" i="12"/>
  <c r="F47" i="12"/>
  <c r="G47" i="12"/>
  <c r="F87" i="12"/>
  <c r="G87" i="12"/>
  <c r="F86" i="12"/>
  <c r="G86" i="12"/>
  <c r="F60" i="12"/>
  <c r="G60" i="12"/>
  <c r="F61" i="12"/>
  <c r="G61" i="12"/>
  <c r="F100" i="12"/>
  <c r="G100" i="12" s="1"/>
  <c r="F99" i="12"/>
  <c r="G99" i="12" s="1"/>
  <c r="F113" i="12"/>
  <c r="G113" i="12" s="1"/>
  <c r="F112" i="12"/>
  <c r="G112" i="12" s="1"/>
  <c r="F126" i="12"/>
  <c r="G126" i="12"/>
  <c r="F125" i="12"/>
  <c r="G125" i="12"/>
  <c r="C127" i="12"/>
  <c r="E127" i="12" s="1"/>
  <c r="P12" i="6"/>
  <c r="H12" i="7" s="1"/>
  <c r="F128" i="12"/>
  <c r="G128" i="12" s="1"/>
  <c r="F115" i="12"/>
  <c r="G115" i="12" s="1"/>
  <c r="C114" i="12"/>
  <c r="E114" i="12" s="1"/>
  <c r="P11" i="6"/>
  <c r="H11" i="7" s="1"/>
  <c r="C101" i="12"/>
  <c r="E101" i="12" s="1"/>
  <c r="P10" i="6"/>
  <c r="F102" i="12"/>
  <c r="G102" i="12" s="1"/>
  <c r="C88" i="12"/>
  <c r="E88" i="12" s="1"/>
  <c r="P9" i="6"/>
  <c r="H9" i="7" s="1"/>
  <c r="F89" i="12"/>
  <c r="G89" i="12" s="1"/>
  <c r="C75" i="12"/>
  <c r="E75" i="12" s="1"/>
  <c r="P8" i="6"/>
  <c r="H8" i="7" s="1"/>
  <c r="F76" i="12"/>
  <c r="G76" i="12"/>
  <c r="O8" i="6"/>
  <c r="C73" i="12"/>
  <c r="E73" i="12" s="1"/>
  <c r="N8" i="3"/>
  <c r="C74" i="12" s="1"/>
  <c r="E74" i="12" s="1"/>
  <c r="F63" i="12"/>
  <c r="G63" i="12"/>
  <c r="C62" i="12"/>
  <c r="E62" i="12" s="1"/>
  <c r="P7" i="6"/>
  <c r="H7" i="7" s="1"/>
  <c r="C49" i="12"/>
  <c r="E49" i="12" s="1"/>
  <c r="P6" i="6"/>
  <c r="H6" i="7" s="1"/>
  <c r="F50" i="12"/>
  <c r="G50" i="12" s="1"/>
  <c r="O5" i="6"/>
  <c r="N5" i="3"/>
  <c r="C35" i="12" s="1"/>
  <c r="E35" i="12" s="1"/>
  <c r="C34" i="12"/>
  <c r="E34" i="12" s="1"/>
  <c r="C36" i="12"/>
  <c r="E36" i="12" s="1"/>
  <c r="P5" i="6"/>
  <c r="H5" i="7" s="1"/>
  <c r="F37" i="12"/>
  <c r="G37" i="12" s="1"/>
  <c r="O4" i="6"/>
  <c r="N4" i="3"/>
  <c r="C22" i="12" s="1"/>
  <c r="E22" i="12" s="1"/>
  <c r="C21" i="12"/>
  <c r="E21" i="12" s="1"/>
  <c r="C23" i="12"/>
  <c r="E23" i="12" s="1"/>
  <c r="P4" i="6"/>
  <c r="H4" i="7" s="1"/>
  <c r="F24" i="12"/>
  <c r="G24" i="12" s="1"/>
  <c r="K8" i="7"/>
  <c r="M35" i="12" s="1"/>
  <c r="J8" i="7"/>
  <c r="L8" i="7"/>
  <c r="F123" i="12" l="1"/>
  <c r="G123" i="12"/>
  <c r="F120" i="12"/>
  <c r="G120" i="12"/>
  <c r="F110" i="12"/>
  <c r="G110" i="12"/>
  <c r="F107" i="12"/>
  <c r="G107" i="12"/>
  <c r="F97" i="12"/>
  <c r="G97" i="12" s="1"/>
  <c r="F94" i="12"/>
  <c r="G94" i="12"/>
  <c r="F84" i="12"/>
  <c r="G84" i="12"/>
  <c r="F81" i="12"/>
  <c r="G81" i="12"/>
  <c r="F71" i="12"/>
  <c r="G71" i="12" s="1"/>
  <c r="F68" i="12"/>
  <c r="G68" i="12" s="1"/>
  <c r="F58" i="12"/>
  <c r="G58" i="12"/>
  <c r="F55" i="12"/>
  <c r="G55" i="12"/>
  <c r="F45" i="12"/>
  <c r="G45" i="12"/>
  <c r="F42" i="12"/>
  <c r="G42" i="12"/>
  <c r="F29" i="12"/>
  <c r="G29" i="12" s="1"/>
  <c r="G32" i="12"/>
  <c r="F32" i="12"/>
  <c r="F19" i="12"/>
  <c r="G19" i="12" s="1"/>
  <c r="F16" i="12"/>
  <c r="G16" i="12"/>
  <c r="F127" i="12"/>
  <c r="G127" i="12"/>
  <c r="F114" i="12"/>
  <c r="G114" i="12" s="1"/>
  <c r="L11" i="7"/>
  <c r="O38" i="12" s="1"/>
  <c r="K11" i="7"/>
  <c r="M38" i="12" s="1"/>
  <c r="J11" i="7"/>
  <c r="F101" i="12"/>
  <c r="G101" i="12" s="1"/>
  <c r="F88" i="12"/>
  <c r="G88" i="12" s="1"/>
  <c r="L9" i="7"/>
  <c r="O36" i="12" s="1"/>
  <c r="K9" i="7"/>
  <c r="M36" i="12" s="1"/>
  <c r="J9" i="7"/>
  <c r="F75" i="12"/>
  <c r="G75" i="12"/>
  <c r="F73" i="12"/>
  <c r="G73" i="12"/>
  <c r="F74" i="12"/>
  <c r="G74" i="12" s="1"/>
  <c r="F62" i="12"/>
  <c r="G62" i="12" s="1"/>
  <c r="F49" i="12"/>
  <c r="G49" i="12" s="1"/>
  <c r="K6" i="7"/>
  <c r="M33" i="12" s="1"/>
  <c r="J6" i="7"/>
  <c r="L6" i="7"/>
  <c r="O33" i="12" s="1"/>
  <c r="F35" i="12"/>
  <c r="G35" i="12"/>
  <c r="F34" i="12"/>
  <c r="G34" i="12"/>
  <c r="F36" i="12"/>
  <c r="G36" i="12"/>
  <c r="F22" i="12"/>
  <c r="G22" i="12" s="1"/>
  <c r="F21" i="12"/>
  <c r="G21" i="12"/>
  <c r="F23" i="12"/>
  <c r="G23" i="12" s="1"/>
  <c r="J35" i="12"/>
  <c r="H19" i="1"/>
  <c r="D5" i="1"/>
  <c r="O35" i="12"/>
  <c r="J12" i="7"/>
  <c r="K12" i="7"/>
  <c r="M39" i="12" s="1"/>
  <c r="L12" i="7"/>
  <c r="O39" i="12" s="1"/>
  <c r="J7" i="7"/>
  <c r="L7" i="7"/>
  <c r="O34" i="12" s="1"/>
  <c r="K7" i="7"/>
  <c r="M34" i="12" s="1"/>
  <c r="J5" i="7"/>
  <c r="K5" i="7"/>
  <c r="M32" i="12" s="1"/>
  <c r="L5" i="7"/>
  <c r="O32" i="12" s="1"/>
  <c r="K4" i="7"/>
  <c r="M31" i="12" s="1"/>
  <c r="J4" i="7"/>
  <c r="L4" i="7"/>
  <c r="O31" i="12" s="1"/>
  <c r="J38" i="12" l="1"/>
  <c r="K6" i="8"/>
  <c r="H18" i="1"/>
  <c r="J36" i="12"/>
  <c r="A5" i="1"/>
  <c r="J33" i="12"/>
  <c r="K9" i="8"/>
  <c r="L35" i="12"/>
  <c r="Q35" i="12"/>
  <c r="H21" i="1"/>
  <c r="J39" i="12"/>
  <c r="K5" i="8"/>
  <c r="H20" i="1"/>
  <c r="J34" i="12"/>
  <c r="K8" i="8"/>
  <c r="J32" i="12"/>
  <c r="J31" i="12"/>
  <c r="K7" i="8"/>
  <c r="K4" i="8"/>
  <c r="L38" i="12" l="1"/>
  <c r="Q38" i="12"/>
  <c r="L36" i="12"/>
  <c r="Q36" i="12"/>
  <c r="Q33" i="12"/>
  <c r="L33" i="12"/>
  <c r="L39" i="12"/>
  <c r="Q39" i="12"/>
  <c r="L34" i="12"/>
  <c r="Q34" i="12"/>
  <c r="Q32" i="12"/>
  <c r="L32" i="12"/>
  <c r="Q31" i="12"/>
  <c r="L31" i="12"/>
</calcChain>
</file>

<file path=xl/sharedStrings.xml><?xml version="1.0" encoding="utf-8"?>
<sst xmlns="http://schemas.openxmlformats.org/spreadsheetml/2006/main" count="671" uniqueCount="377">
  <si>
    <t>3×3 Hollow-Rod Array — Updated Theoretical + FEA Design Screening</t>
  </si>
  <si>
    <t>PRIMARY SELECTION</t>
  </si>
  <si>
    <t>DURABILITY CHALLENGER</t>
  </si>
  <si>
    <t>SHORT / STIFF CONTROL</t>
  </si>
  <si>
    <t>FORMAL FAILURE</t>
  </si>
  <si>
    <t>Run 7
Failed the required 1.25 mm nonlinear solve
No extrapolation permitted</t>
  </si>
  <si>
    <t>Final engineering verdict</t>
  </si>
  <si>
    <t>Run 6 is the most defensible main geometry: its 1.75 mm wall preserves the preferred 25% hollow-area ratio, while the 5.25 mm height lowers the force requirement and produces the strongest solved strain localization. Run 5 is the correct companion prototype because its medium height gives the best durability-oriented balance. Run 4 should be retained as a short/stiff activation and durability control, and Run 9 as a tall near-solid control. Run 7 remains a formal failure at the required 1.25 mm indentation.</t>
  </si>
  <si>
    <t>Priority</t>
  </si>
  <si>
    <t>Run</t>
  </si>
  <si>
    <t>Geometry</t>
  </si>
  <si>
    <t>|Fz| (N)</t>
  </si>
  <si>
    <t>Eq. strain max</t>
  </si>
  <si>
    <t>Energy (mJ)</t>
  </si>
  <si>
    <t>Lateral ratio</t>
  </si>
  <si>
    <t>Balanced score</t>
  </si>
  <si>
    <t>Why it is retained</t>
  </si>
  <si>
    <t>Key mechanism findings</t>
  </si>
  <si>
    <t>1.75 mm wall is the preferred mechanism level: 25% cavity area.</t>
  </si>
  <si>
    <t>0.875 mm walls are over-hollowed at 56.25% cavity area.</t>
  </si>
  <si>
    <t>2.625 mm walls are near-solid at only 6.25% cavity area.</t>
  </si>
  <si>
    <t>H = 5.25 mm favors sensitivity; H = 3.50 mm favors durability.</t>
  </si>
  <si>
    <t>N/A — failed solve</t>
  </si>
  <si>
    <t>Corrected Runs 1, 5, and 8 now have comparable contact/indenter conditions.</t>
  </si>
  <si>
    <t>Run 7 failed even with aggressive nonlinear controls.</t>
  </si>
  <si>
    <t>Required validation before thesis-level finalization</t>
  </si>
  <si>
    <t>1</t>
  </si>
  <si>
    <t>Fit the actual 70 wt% filled composite to a hyperelastic material model using UTM data.</t>
  </si>
  <si>
    <t>2</t>
  </si>
  <si>
    <t>Perform local mesh convergence on Runs 5 and 6; compare force, strain, energy, and lateral ratio.</t>
  </si>
  <si>
    <t>3</t>
  </si>
  <si>
    <t>Fabricate Runs 5 and 6 plus Runs 4 and 9 as controls; calibrate force versus emitted light.</t>
  </si>
  <si>
    <t>4</t>
  </si>
  <si>
    <t>Record neighboring-taxel intensity to verify that Run 6's higher localization also reduces optical/mechanical cross-talk.</t>
  </si>
  <si>
    <t>3×3 Hollow-Rod Array — Inputs, Material Model, and Screening Rules</t>
  </si>
  <si>
    <t>Transparent scoring thresholds</t>
  </si>
  <si>
    <t>Fixed geometry</t>
  </si>
  <si>
    <t>ANSYS Neo-Hookean material model</t>
  </si>
  <si>
    <t>Design levels</t>
  </si>
  <si>
    <t>Eq. strain zero-low</t>
  </si>
  <si>
    <t>Activation trapezoid</t>
  </si>
  <si>
    <t>Rod outer diameter, D (mm)</t>
  </si>
  <si>
    <t>Shear parameter, μ (MPa)</t>
  </si>
  <si>
    <t>Report input</t>
  </si>
  <si>
    <t>Wall thickness t (mm)</t>
  </si>
  <si>
    <t>Rod height H (mm)</t>
  </si>
  <si>
    <t>Eq. strain full-low</t>
  </si>
  <si>
    <t>Buffer/base thickness, tb (mm)</t>
  </si>
  <si>
    <t>Compressibility parameter, D1 (MPa⁻¹)</t>
  </si>
  <si>
    <t>Eq. strain full-high</t>
  </si>
  <si>
    <t>Required indentation, δ (mm)</t>
  </si>
  <si>
    <t>Initial bulk modulus, K (MPa)</t>
  </si>
  <si>
    <t>=2/D1</t>
  </si>
  <si>
    <t>Eq. strain zero-high</t>
  </si>
  <si>
    <t>Array rows</t>
  </si>
  <si>
    <t>Initial Young's modulus, E₀ (MPa)</t>
  </si>
  <si>
    <t>=9Kμ/(3K+μ)</t>
  </si>
  <si>
    <t>Energy zero-low (mJ)</t>
  </si>
  <si>
    <t>Array columns</t>
  </si>
  <si>
    <t>Initial Poisson's ratio, ν₀</t>
  </si>
  <si>
    <t>Nearly incompressible</t>
  </si>
  <si>
    <t>Energy full-low (mJ)</t>
  </si>
  <si>
    <t>Skin width (mm)</t>
  </si>
  <si>
    <t>FEA elastomer</t>
  </si>
  <si>
    <t>Ecoflex 00-45</t>
  </si>
  <si>
    <t>Unfilled material model</t>
  </si>
  <si>
    <t>Energy full-high (mJ)</t>
  </si>
  <si>
    <t>Skin length (mm)</t>
  </si>
  <si>
    <t>Indenter</t>
  </si>
  <si>
    <t>ABS</t>
  </si>
  <si>
    <t>Flexible body in reports</t>
  </si>
  <si>
    <t>Energy zero-high (mJ)</t>
  </si>
  <si>
    <t>Common indenter width (mm)</t>
  </si>
  <si>
    <t>Stress-localization proxy low</t>
  </si>
  <si>
    <t>Ramp</t>
  </si>
  <si>
    <t>Rod count</t>
  </si>
  <si>
    <t>Stress-localization proxy high</t>
  </si>
  <si>
    <t>Center-to-center pitch (mm)</t>
  </si>
  <si>
    <t>Secant stiffness zero-low</t>
  </si>
  <si>
    <t>Compliance trapezoid</t>
  </si>
  <si>
    <t>Inter-rod clear gap (mm)</t>
  </si>
  <si>
    <t>Secant stiffness full-low</t>
  </si>
  <si>
    <t>Edge margin to skin boundary (mm)</t>
  </si>
  <si>
    <t>Secant stiffness full-high</t>
  </si>
  <si>
    <t>Secant stiffness zero-high</t>
  </si>
  <si>
    <t>Model-scope warning</t>
  </si>
  <si>
    <t>Localization low</t>
  </si>
  <si>
    <t>The analytical calculations are geometry-based proxies using the initial Ecoflex 00-45 modulus. The FEA reports also use unfilled Ecoflex 00-45, while the fabricated sensing skin contains a 70 wt% ZnS:Cu,Al/BaTiO₃ filler system in an Ecoflex/PDMS binder. Absolute force predictions must therefore be replaced by UTM-fitted composite properties before final validation. The analytical cylindrical formulas do not capture the rounded cap, wall ovalization, contact growth, or rod-to-base stress concentration.</t>
  </si>
  <si>
    <t>Localization high</t>
  </si>
  <si>
    <t>Lateral ratio good</t>
  </si>
  <si>
    <t>Inverse ramp</t>
  </si>
  <si>
    <t>Lateral ratio poor</t>
  </si>
  <si>
    <t>Eq. strain risk-good</t>
  </si>
  <si>
    <t>Eq. strain risk-poor</t>
  </si>
  <si>
    <t>H/t stable</t>
  </si>
  <si>
    <t>H/t unstable</t>
  </si>
  <si>
    <t>Hollow ratio zero-low</t>
  </si>
  <si>
    <t>Geometry trapezoid</t>
  </si>
  <si>
    <t>Hollow ratio full-low</t>
  </si>
  <si>
    <t>Hollow ratio full-high</t>
  </si>
  <si>
    <t>Hollow ratio zero-high</t>
  </si>
  <si>
    <t>Cavity diameter low (mm)</t>
  </si>
  <si>
    <t>Manufacturing ramp</t>
  </si>
  <si>
    <t>Cavity diameter full (mm)</t>
  </si>
  <si>
    <t>Theoretical Geometry and Structural Proxies</t>
  </si>
  <si>
    <t>Wall t (mm)</t>
  </si>
  <si>
    <t>Height H (mm)</t>
  </si>
  <si>
    <t>Inner diameter Di (mm)</t>
  </si>
  <si>
    <t>Annular area A (mm²)</t>
  </si>
  <si>
    <t>Second moment I (mm⁴)</t>
  </si>
  <si>
    <t>Polar moment J (mm⁴)</t>
  </si>
  <si>
    <t>Radius of gyration rg (mm)</t>
  </si>
  <si>
    <t>Hollow-area ratio</t>
  </si>
  <si>
    <t>H/t</t>
  </si>
  <si>
    <t>H/rg</t>
  </si>
  <si>
    <t>Nominal δ/H</t>
  </si>
  <si>
    <t>Linear axial k (N/mm)</t>
  </si>
  <si>
    <t>Linear compliance (mm/N)</t>
  </si>
  <si>
    <t>Lateral k proxy (N/mm)</t>
  </si>
  <si>
    <t>Euler Pcr proxy (N)</t>
  </si>
  <si>
    <t>CAD rod volume (mm³)</t>
  </si>
  <si>
    <t>Straight annular volume A·H (mm³)</t>
  </si>
  <si>
    <t>CAD/A·H ratio</t>
  </si>
  <si>
    <t>FEA Setup Audit and Comparability Check</t>
  </si>
  <si>
    <t>Solve status</t>
  </si>
  <si>
    <t>Target δ (mm)</t>
  </si>
  <si>
    <t>Last reported |Uz|min (mm)</t>
  </si>
  <si>
    <t>Indenter (mm)</t>
  </si>
  <si>
    <t>Base volume (mm³)</t>
  </si>
  <si>
    <t>Rod volume each (mm³)</t>
  </si>
  <si>
    <t>Model volume (mm³)</t>
  </si>
  <si>
    <t>Nodes</t>
  </si>
  <si>
    <t>Elements</t>
  </si>
  <si>
    <t>Contact</t>
  </si>
  <si>
    <t>Material</t>
  </si>
  <si>
    <t>QA finding</t>
  </si>
  <si>
    <t>Screening use</t>
  </si>
  <si>
    <t>Solved</t>
  </si>
  <si>
    <t>Frictionless / asymmetric; bonded rods-base</t>
  </si>
  <si>
    <t>Ecoflex 00-45; ABS indenter</t>
  </si>
  <si>
    <t>Updated model now uses the common 4 × 4 mm indenter; directly comparable.</t>
  </si>
  <si>
    <t>Direct comparison</t>
  </si>
  <si>
    <t>No major setup mismatch found; automatic mesh still needs convergence verification.</t>
  </si>
  <si>
    <t>Solved, but lateral directional-deformation scoping differs from several other reports; treat lateral ratio with moderate caution.</t>
  </si>
  <si>
    <t>Updated curve engages immediately; the previous delayed-contact concern is resolved.</t>
  </si>
  <si>
    <t>No major setup mismatch found; directly comparable.</t>
  </si>
  <si>
    <t>Failed</t>
  </si>
  <si>
    <t>Report is not finalized and the nonlinear solution failed. The last displayed state reports |Uz|min = 1.2467 mm; its strain, stress, energy, and force outputs are diagnostic only and not rankable.</t>
  </si>
  <si>
    <t>Diagnostic only — score forced to zero</t>
  </si>
  <si>
    <t>Updated curve engages immediately; old delayed-contact concern is resolved. A separate stress-intensity object has different scoping and is excluded.</t>
  </si>
  <si>
    <t>Solved and directly comparable; near-solid cavity remains a mechanism limitation.</t>
  </si>
  <si>
    <t>Common nonlinear setup and limitations</t>
  </si>
  <si>
    <t>All reports use large deflection, automatic time stepping, a frictionless indenter contact, and a Neo-Hookean Ecoflex 00-45 model. Run 7 is especially well documented as a genuine target failure: it used two load steps, 200 initial / 100 minimum / 2000 maximum substeps, Full Newton–Raphson, and Line Search On, yet the report remained 'Solve Failed' and 'Not Finalized'. No report contains a formal mesh-convergence study, and some result objects use different scoping. Cross-run ranking therefore relies only on the common equivalent strain, equivalent stress, energy, reaction force, and global displacement outputs.</t>
  </si>
  <si>
    <t>Cross-Run FEA Results Extracted from ANSYS Reports</t>
  </si>
  <si>
    <t>Status</t>
  </si>
  <si>
    <t>Total deformation max (mm)</t>
  </si>
  <si>
    <t>Ux min</t>
  </si>
  <si>
    <t>Ux max</t>
  </si>
  <si>
    <t>Uy min</t>
  </si>
  <si>
    <t>Uy max</t>
  </si>
  <si>
    <t>Uz min</t>
  </si>
  <si>
    <t>Uz max</t>
  </si>
  <si>
    <t>Eq. strain avg</t>
  </si>
  <si>
    <t>Eq. stress max (MPa)</t>
  </si>
  <si>
    <t>Eq. stress avg (MPa)</t>
  </si>
  <si>
    <t>Total strain energy (mJ)</t>
  </si>
  <si>
    <t>Max element energy (mJ)</t>
  </si>
  <si>
    <t>Fx (N)</t>
  </si>
  <si>
    <t>Fy (N)</t>
  </si>
  <si>
    <t>Fz (N)</t>
  </si>
  <si>
    <t>Force total (N)</t>
  </si>
  <si>
    <t>Moment total (N·mm)</t>
  </si>
  <si>
    <t>Derived FEA Performance Metrics</t>
  </si>
  <si>
    <t>Wall t</t>
  </si>
  <si>
    <t>Height H</t>
  </si>
  <si>
    <t>Secant k (N/mm)</t>
  </si>
  <si>
    <t>Max lateral def. (mm)</t>
  </si>
  <si>
    <t>Strain localization</t>
  </si>
  <si>
    <t>Stress localization</t>
  </si>
  <si>
    <t>Nominal axial stress (MPa)</t>
  </si>
  <si>
    <t>Stress-localization proxy</t>
  </si>
  <si>
    <t>Energy / force (mm)</t>
  </si>
  <si>
    <t>Work ratio 2U/Fδ</t>
  </si>
  <si>
    <t>FEA / linear k</t>
  </si>
  <si>
    <t>Theoretical lateral k</t>
  </si>
  <si>
    <t>Di (mm)</t>
  </si>
  <si>
    <t>Hollow ratio</t>
  </si>
  <si>
    <t>Total energy (mJ)</t>
  </si>
  <si>
    <t>Convergence flag</t>
  </si>
  <si>
    <t>Combined Theoretical + FEA Design Screening</t>
  </si>
  <si>
    <t>Activation</t>
  </si>
  <si>
    <t>Compliance</t>
  </si>
  <si>
    <t>Localization</t>
  </si>
  <si>
    <t>Stability</t>
  </si>
  <si>
    <t>Hollow / fabrication</t>
  </si>
  <si>
    <t>Sensitivity-first</t>
  </si>
  <si>
    <t>Durability-first</t>
  </si>
  <si>
    <t>Balanced rank</t>
  </si>
  <si>
    <t>Durability rank</t>
  </si>
  <si>
    <t>Decision class</t>
  </si>
  <si>
    <t>Recommended role</t>
  </si>
  <si>
    <t>THIN-WALL EXTREME</t>
  </si>
  <si>
    <t>Retain only as a highly hollow compliance/sensitivity control.</t>
  </si>
  <si>
    <t>Retain as the medium-height thin-wall control.</t>
  </si>
  <si>
    <t>Retain as the tall thin-wall control; inspect folding and fatigue.</t>
  </si>
  <si>
    <t>Use as the durability and strong-activation control.</t>
  </si>
  <si>
    <t>PRIMARY CHALLENGER</t>
  </si>
  <si>
    <t>Best durability-oriented preferred-wall design; fabricate alongside Run 6.</t>
  </si>
  <si>
    <t>Best balanced and sensitivity-oriented preferred-wall design.</t>
  </si>
  <si>
    <t>FAIL — TARGET DISPLACEMENT</t>
  </si>
  <si>
    <t>Reject from the primary design set; retain failed solution only as diagnostic evidence.</t>
  </si>
  <si>
    <t>NEAR-SOLID CONTROL</t>
  </si>
  <si>
    <t>Strong response, but only 6.25% cavity area; use as a thick-wall control.</t>
  </si>
  <si>
    <t>NEAR-SOLID TALL CONTROL</t>
  </si>
  <si>
    <t>Useful to test whether the hollow mechanism adds value.</t>
  </si>
  <si>
    <t>Main Effects of Wall Thickness and Rod Height</t>
  </si>
  <si>
    <t>Factor</t>
  </si>
  <si>
    <t>Level (mm)</t>
  </si>
  <si>
    <t>Solved count</t>
  </si>
  <si>
    <t>Failed count</t>
  </si>
  <si>
    <t>Mean |Fz| (N)</t>
  </si>
  <si>
    <t>Mean secant k</t>
  </si>
  <si>
    <t>Mean eq. strain max</t>
  </si>
  <si>
    <t>Mean energy (mJ)</t>
  </si>
  <si>
    <t>Mean lateral ratio</t>
  </si>
  <si>
    <t>Mean localization</t>
  </si>
  <si>
    <t>Mean balanced score</t>
  </si>
  <si>
    <t>Wall thickness</t>
  </si>
  <si>
    <t>Rod height</t>
  </si>
  <si>
    <t>Engineering interpretation</t>
  </si>
  <si>
    <t>Wall thickness has the strongest mechanism effect. The 1.75 mm wall retains the preferred 25% cavity-area ratio and gives the highest mean localization and combined score. The 0.875 mm wall is compliant but over-hollowed (56.25% cavity), while the 2.625 mm wall is near-solid (6.25% cavity) and includes the only target-deformation failure. Height mainly tunes sensitivity versus durability: increasing height lowers force and secant stiffness; H = 5.25 mm favors low-force sensitivity, whereas H = 3.50 mm preserves more structural stability.</t>
  </si>
  <si>
    <t>Reaction Force versus Imposed Displacement</t>
  </si>
  <si>
    <t>Run 1 δ (mm)</t>
  </si>
  <si>
    <t>Run 1 |Fz| (N)</t>
  </si>
  <si>
    <t>Run 2 δ (mm)</t>
  </si>
  <si>
    <t>Run 2 |Fz| (N)</t>
  </si>
  <si>
    <t>Run 3 δ (mm)</t>
  </si>
  <si>
    <t>Run 3 |Fz| (N)</t>
  </si>
  <si>
    <t>Run 4 δ (mm)</t>
  </si>
  <si>
    <t>Run 4 |Fz| (N)</t>
  </si>
  <si>
    <t>Run 5 δ (mm)</t>
  </si>
  <si>
    <t>Run 5 |Fz| (N)</t>
  </si>
  <si>
    <t>Run 6 δ (mm)</t>
  </si>
  <si>
    <t>Run 6 |Fz| (N)</t>
  </si>
  <si>
    <t>Run 7 δ (mm)</t>
  </si>
  <si>
    <t>Run 7 |Fz| (N)</t>
  </si>
  <si>
    <t>Run 8 δ (mm)</t>
  </si>
  <si>
    <t>Run 8 |Fz| (N)</t>
  </si>
  <si>
    <t>Run 9 δ (mm)</t>
  </si>
  <si>
    <t>Run 9 |Fz| (N)</t>
  </si>
  <si>
    <t>Runs 1, 5, and 8 now show immediate force engagement. Run 7 is excluded from the primary chart because its history belongs to a failed, non-finalized solve.</t>
  </si>
  <si>
    <t>Run-by-Run Engineering Review</t>
  </si>
  <si>
    <t>Theoretical interpretation</t>
  </si>
  <si>
    <t>FEA evidence</t>
  </si>
  <si>
    <t>Primary risk</t>
  </si>
  <si>
    <t>Required action</t>
  </si>
  <si>
    <t>Source</t>
  </si>
  <si>
    <t>t = 0.875 mm; H = 1.750 mm</t>
  </si>
  <si>
    <t>56.25% cavity-area ratio gives high compliance but leaves only a 0.875 mm wall.</t>
  </si>
  <si>
    <t>Updated FEA reaches 1.25 mm with 0.39382 N reaction, 0.38402 maximum equivalent strain, and 0.18595 mJ energy.</t>
  </si>
  <si>
    <t>Fabrication defects, wall folding, and fatigue are the main risks.</t>
  </si>
  <si>
    <t>RUN 1(1).pdf</t>
  </si>
  <si>
    <t>t = 0.875 mm; H = 3.500 mm</t>
  </si>
  <si>
    <t>Same over-hollowed wall with twice the height of Run 1; theoretical axial stiffness is halved.</t>
  </si>
  <si>
    <t>Lowest-medium force response: 0.25363 N, with broad strain distribution and 0.14115 mJ energy.</t>
  </si>
  <si>
    <t>Useful thin-wall control, but not preferred for a 70 wt% filled composite.</t>
  </si>
  <si>
    <t>RUN 2(1).pdf</t>
  </si>
  <si>
    <t>t = 0.875 mm; H = 5.250 mm</t>
  </si>
  <si>
    <t>Most slender design, H/t = 6; theoretically most compliant among the thin-wall set.</t>
  </si>
  <si>
    <t>Lowest solved reaction force, 0.18224 N, but only moderate localization and 0.12106 mJ energy.</t>
  </si>
  <si>
    <t>Highest risk of folding, ovalization, tearing, and directional instability.</t>
  </si>
  <si>
    <t>RUN 3(1).pdf</t>
  </si>
  <si>
    <t>t = 1.750 mm; H = 1.750 mm</t>
  </si>
  <si>
    <t>Preferred 25% cavity ratio with the shortest height; theory predicts the highest stiffness among valid hollow designs.</t>
  </si>
  <si>
    <t>Produces 1.1661 N reaction, 0.54173 strain, and the largest solved energy, 0.52259 mJ.</t>
  </si>
  <si>
    <t>Excellent control for durability/strong activation, but too stiff for the main low-force sensor.</t>
  </si>
  <si>
    <t>RUN 4(1).pdf</t>
  </si>
  <si>
    <t>t = 1.750 mm; H = 3.500 mm</t>
  </si>
  <si>
    <t>Preferred 25% cavity ratio and medium height provide a balanced geometry.</t>
  </si>
  <si>
    <t>Corrected FEA gives 0.52946 N, 0.39425 strain, 0.31364 mJ, and stable immediate contact engagement.</t>
  </si>
  <si>
    <t>Best durability-oriented candidate; slightly less sensitive/localized than Run 6.</t>
  </si>
  <si>
    <t>RUN 5(1).pdf</t>
  </si>
  <si>
    <t>t = 1.750 mm; H = 5.250 mm</t>
  </si>
  <si>
    <t>Preferred wall and tallest height increase compliance while retaining a meaningful cavity.</t>
  </si>
  <si>
    <t>Gives 0.38815 N, 0.41045 strain, 0.24758 mJ, and the strongest strain localization among solved runs.</t>
  </si>
  <si>
    <t>Best main design for low-force mechanoluminescent activation, subject to mesh and material validation.</t>
  </si>
  <si>
    <t>RUN 6(1).pdf</t>
  </si>
  <si>
    <t>t = 2.625 mm; H = 1.750 mm</t>
  </si>
  <si>
    <t>Near-solid, short, stocky rod theoretically has the highest stiffness and very high compression demand.</t>
  </si>
  <si>
    <t>The failed report's last displayed state contains 1.0378 maximum equivalent elastic strain, 0.67089 mJ total strain energy, and 1.621 N final reported reaction force. These are unconverged diagnostic outputs and are excluded from ranking.</t>
  </si>
  <si>
    <t>Formal failure; no extrapolation or direct ranking of its partial values.</t>
  </si>
  <si>
    <t>RUN 7(1).pdf</t>
  </si>
  <si>
    <t>t = 2.625 mm; H = 3.500 mm</t>
  </si>
  <si>
    <t>Near-solid 6.25% cavity ratio and medium height create a strong but weakly hollow taxel.</t>
  </si>
  <si>
    <t>Corrected FEA reaches 0.80258 N, 0.54173 strain, and 0.39134 mJ without the previous contact delay.</t>
  </si>
  <si>
    <t>Keep as a near-solid structural control, not as the preferred hollow mechanism.</t>
  </si>
  <si>
    <t>RUN 8(1).pdf</t>
  </si>
  <si>
    <t>t = 2.625 mm; H = 5.250 mm</t>
  </si>
  <si>
    <t>Tall near-solid design reduces stiffness relative to Run 8 but still has only a 1.75 mm inner diameter.</t>
  </si>
  <si>
    <t>Produces 0.58161 N, 0.44393 strain, 0.32715 mJ, and the best lateral ratio among the solved thick-wall cases.</t>
  </si>
  <si>
    <t>Use as a tall near-solid control for mechanism comparison.</t>
  </si>
  <si>
    <t>RUN 9(1).pdf</t>
  </si>
  <si>
    <t>Source Reports and Traceability</t>
  </si>
  <si>
    <t>Uploaded report</t>
  </si>
  <si>
    <t>Report date</t>
  </si>
  <si>
    <t>Key pages used</t>
  </si>
  <si>
    <t>Use in screening</t>
  </si>
  <si>
    <t>Notes</t>
  </si>
  <si>
    <t>2026-07-22/23</t>
  </si>
  <si>
    <t>Geometry/material: pp. 3–8; results: pp. 10–21</t>
  </si>
  <si>
    <t>Geometry, setup audit, displacement/strain/stress/energy/force history</t>
  </si>
  <si>
    <t>Solved report</t>
  </si>
  <si>
    <t>Failed / not-finalized report; diagnostic only</t>
  </si>
  <si>
    <t>Traceability note</t>
  </si>
  <si>
    <t>All numerical FEA values in this workbook were transcribed or calculated from the nine uploaded ANSYS Mechanical reports. The theoretical results are explicitly marked as geometry/material proxies. No outside reference values were inserted into the ranking.</t>
  </si>
  <si>
    <t>Independent Double-Check of Theoretical Formulas, FEA Transcription, and Ranking</t>
  </si>
  <si>
    <t>Audit verdict</t>
  </si>
  <si>
    <t>PASS WITH CORRECTIONS. All theoretical section-property formulas, material conversions, derived FEA metrics, score equations, and ranking formulas recompute correctly. Corrections were required for the CAD array spacing, five sets of omitted Fx/Fy values, and Run 7's equivalent-strain columns. These corrections do not change the screening outcome: Run 6 remains the balanced and sensitivity-first winner; Run 5 remains the durability-first winner. The weighted scores are transparent engineering screening assumptions, not experimentally calibrated physical laws.</t>
  </si>
  <si>
    <t>Metric</t>
  </si>
  <si>
    <t>Workbook value</t>
  </si>
  <si>
    <t>Independent recomputation</t>
  </si>
  <si>
    <t>Absolute error</t>
  </si>
  <si>
    <t>Relative error</t>
  </si>
  <si>
    <t>Area</t>
  </si>
  <si>
    <t>Run / field</t>
  </si>
  <si>
    <t>Previous workbook value</t>
  </si>
  <si>
    <t>Corrected value</t>
  </si>
  <si>
    <t>Source basis</t>
  </si>
  <si>
    <t>Effect on final ranking</t>
  </si>
  <si>
    <t>Inner diameter Di</t>
  </si>
  <si>
    <t>Array layout</t>
  </si>
  <si>
    <t>Pitch</t>
  </si>
  <si>
    <t>Rod centroids at -9, 0, +9 mm</t>
  </si>
  <si>
    <t>None; layout summary only</t>
  </si>
  <si>
    <t>Annular area A</t>
  </si>
  <si>
    <t>Inter-rod gap</t>
  </si>
  <si>
    <t>Pitch 9.00 mm minus diameter 7.00 mm</t>
  </si>
  <si>
    <t>None</t>
  </si>
  <si>
    <t>Second moment I</t>
  </si>
  <si>
    <t>Edge margin</t>
  </si>
  <si>
    <t>15 - (9 + 3.5) mm</t>
  </si>
  <si>
    <t>Polar moment J</t>
  </si>
  <si>
    <t>FEA raw</t>
  </si>
  <si>
    <t>Run 3 Fx</t>
  </si>
  <si>
    <t>Final force-reaction table</t>
  </si>
  <si>
    <t>None; Fx is not scored</t>
  </si>
  <si>
    <t>Radius of gyration rg</t>
  </si>
  <si>
    <t>Run 3 Fy</t>
  </si>
  <si>
    <t>Run 4 Fx</t>
  </si>
  <si>
    <t>Run 4 Fy</t>
  </si>
  <si>
    <t>Run 6 Fx</t>
  </si>
  <si>
    <t>Run 6 Fy</t>
  </si>
  <si>
    <t>Linear axial stiffness</t>
  </si>
  <si>
    <t>Run 7 equivalent strain max</t>
  </si>
  <si>
    <t>0.72122 is maximum principal strain; equivalent strain is 1.0378</t>
  </si>
  <si>
    <t>None; failed run is forced to zero</t>
  </si>
  <si>
    <t>Linear compliance</t>
  </si>
  <si>
    <t>Run 7 equivalent strain avg</t>
  </si>
  <si>
    <t>Correct equivalent-strain average column</t>
  </si>
  <si>
    <t>Lateral stiffness proxy</t>
  </si>
  <si>
    <t>Run 7 Fx</t>
  </si>
  <si>
    <t>Final reported force-reaction row</t>
  </si>
  <si>
    <t>Euler Pcr proxy</t>
  </si>
  <si>
    <t>Run 7 Fy</t>
  </si>
  <si>
    <t>Run 8 Fx</t>
  </si>
  <si>
    <t>Run 8 Fy</t>
  </si>
  <si>
    <t>Independent score-equation verification</t>
  </si>
  <si>
    <t>Workbook balanced</t>
  </si>
  <si>
    <t>Independent balanced</t>
  </si>
  <si>
    <t>Abs. error</t>
  </si>
  <si>
    <t>Workbook sensitivity</t>
  </si>
  <si>
    <t>Independent sensitivity</t>
  </si>
  <si>
    <t>Workbook durability</t>
  </si>
  <si>
    <t>Independent durability</t>
  </si>
  <si>
    <t>Audit</t>
  </si>
  <si>
    <t>Items that are assumptions rather than uniquely 'correct' calculations</t>
  </si>
  <si>
    <t>The weighting profiles and trapezoidal score thresholds are engineering decision rules selected for screening; they are not material constants and cannot be proven exact without experimental correlation. Likewise, EA/H, 3EI/H³, and Euler Pcr are straight annular-member proxies. The actual CAD rods have rounded caps, through-cavities, large deformation, contact-area growth, and a perforated base. These proxies are suitable for trend checking only. Absolute FEA forces remain provisional until the actual 70 wt% filled composite is characterized and fitted.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</si>
</sst>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"/>
    <numFmt numFmtId="167" formatCode="0.000000000000"/>
    <numFmt numFmtId="168" formatCode="0.000000000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i/>
      <sz val="11"/>
      <color rgb="FF7F6000"/>
      <name val="Carlito"/>
    </font>
    <font>
      <b/>
      <sz val="16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sz val="11"/>
      <color rgb="FF17365D"/>
      <name val="Aptos"/>
    </font>
    <font>
      <b/>
      <sz val="11"/>
      <color rgb="FF595959"/>
      <name val="Aptos"/>
    </font>
    <font>
      <i/>
      <sz val="11"/>
      <color rgb="FF7F6000"/>
      <name val="Aptos"/>
    </font>
    <font>
      <sz val="11"/>
      <color rgb="FF7F6000"/>
      <name val="Aptos"/>
    </font>
  </fonts>
  <fills count="1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0F6B78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0F6B78"/>
      </patternFill>
    </fill>
    <fill>
      <patternFill patternType="solid">
        <fgColor rgb="FFFFF2C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0" fillId="0" borderId="0" xfId="0" applyAlignment="1">
      <alignment wrapText="1"/>
    </xf>
    <xf numFmtId="0" fontId="7" fillId="6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166" fontId="6" fillId="0" borderId="7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9" borderId="5" xfId="0" applyFont="1" applyFill="1" applyBorder="1" applyAlignment="1">
      <alignment vertical="center"/>
    </xf>
    <xf numFmtId="0" fontId="6" fillId="9" borderId="8" xfId="0" applyFont="1" applyFill="1" applyBorder="1" applyAlignment="1">
      <alignment vertical="center"/>
    </xf>
    <xf numFmtId="0" fontId="6" fillId="9" borderId="8" xfId="0" applyFont="1" applyFill="1" applyBorder="1" applyAlignment="1">
      <alignment vertical="center" wrapText="1"/>
    </xf>
    <xf numFmtId="166" fontId="6" fillId="9" borderId="8" xfId="0" applyNumberFormat="1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/>
    </xf>
    <xf numFmtId="164" fontId="6" fillId="0" borderId="4" xfId="0" applyNumberFormat="1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4" fontId="6" fillId="0" borderId="3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6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164" fontId="6" fillId="0" borderId="8" xfId="0" applyNumberFormat="1" applyFont="1" applyBorder="1" applyAlignment="1">
      <alignment vertical="center"/>
    </xf>
    <xf numFmtId="166" fontId="6" fillId="0" borderId="7" xfId="0" applyNumberFormat="1" applyFont="1" applyBorder="1" applyAlignment="1">
      <alignment vertical="center"/>
    </xf>
    <xf numFmtId="10" fontId="6" fillId="0" borderId="7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6" fillId="0" borderId="5" xfId="0" applyFont="1" applyBorder="1" applyAlignment="1">
      <alignment vertical="center"/>
    </xf>
    <xf numFmtId="166" fontId="6" fillId="0" borderId="8" xfId="0" applyNumberFormat="1" applyFont="1" applyBorder="1" applyAlignment="1">
      <alignment vertical="center"/>
    </xf>
    <xf numFmtId="10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5" fontId="6" fillId="0" borderId="2" xfId="0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6" fillId="0" borderId="8" xfId="0" applyNumberFormat="1" applyFont="1" applyBorder="1" applyAlignment="1">
      <alignment vertical="center"/>
    </xf>
    <xf numFmtId="165" fontId="6" fillId="0" borderId="6" xfId="0" applyNumberFormat="1" applyFont="1" applyBorder="1" applyAlignment="1">
      <alignment vertical="center"/>
    </xf>
    <xf numFmtId="1" fontId="6" fillId="0" borderId="2" xfId="0" applyNumberFormat="1" applyFont="1" applyBorder="1" applyAlignment="1">
      <alignment vertical="center"/>
    </xf>
    <xf numFmtId="1" fontId="6" fillId="0" borderId="4" xfId="0" applyNumberFormat="1" applyFont="1" applyBorder="1" applyAlignment="1">
      <alignment vertical="center"/>
    </xf>
    <xf numFmtId="1" fontId="6" fillId="0" borderId="6" xfId="0" applyNumberFormat="1" applyFont="1" applyBorder="1" applyAlignment="1">
      <alignment vertical="center"/>
    </xf>
    <xf numFmtId="1" fontId="6" fillId="0" borderId="7" xfId="0" applyNumberFormat="1" applyFont="1" applyBorder="1" applyAlignment="1">
      <alignment vertical="center"/>
    </xf>
    <xf numFmtId="1" fontId="6" fillId="0" borderId="0" xfId="0" applyNumberFormat="1" applyFont="1" applyAlignment="1">
      <alignment vertical="center"/>
    </xf>
    <xf numFmtId="1" fontId="6" fillId="0" borderId="8" xfId="0" applyNumberFormat="1" applyFont="1" applyBorder="1" applyAlignment="1">
      <alignment vertical="center"/>
    </xf>
    <xf numFmtId="166" fontId="6" fillId="0" borderId="2" xfId="0" applyNumberFormat="1" applyFont="1" applyBorder="1" applyAlignment="1">
      <alignment vertical="center"/>
    </xf>
    <xf numFmtId="166" fontId="6" fillId="0" borderId="4" xfId="0" applyNumberFormat="1" applyFont="1" applyBorder="1" applyAlignment="1">
      <alignment vertical="center"/>
    </xf>
    <xf numFmtId="166" fontId="6" fillId="0" borderId="6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0" fontId="2" fillId="14" borderId="0" xfId="0" applyFont="1" applyFill="1" applyAlignment="1">
      <alignment horizontal="center" vertical="center" wrapText="1"/>
    </xf>
    <xf numFmtId="167" fontId="0" fillId="0" borderId="0" xfId="0" applyNumberFormat="1"/>
    <xf numFmtId="0" fontId="0" fillId="0" borderId="15" xfId="0" applyBorder="1"/>
    <xf numFmtId="0" fontId="0" fillId="0" borderId="16" xfId="0" applyBorder="1"/>
    <xf numFmtId="167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7" fontId="0" fillId="0" borderId="21" xfId="0" applyNumberFormat="1" applyBorder="1"/>
    <xf numFmtId="0" fontId="0" fillId="0" borderId="22" xfId="0" applyBorder="1"/>
    <xf numFmtId="168" fontId="0" fillId="0" borderId="16" xfId="0" applyNumberFormat="1" applyBorder="1"/>
    <xf numFmtId="168" fontId="0" fillId="0" borderId="0" xfId="0" applyNumberFormat="1"/>
    <xf numFmtId="168" fontId="0" fillId="0" borderId="21" xfId="0" applyNumberFormat="1" applyBorder="1"/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15" xfId="0" applyBorder="1" applyAlignment="1">
      <alignment wrapText="1"/>
    </xf>
    <xf numFmtId="167" fontId="0" fillId="0" borderId="16" xfId="0" applyNumberFormat="1" applyBorder="1" applyAlignment="1">
      <alignment wrapText="1"/>
    </xf>
    <xf numFmtId="0" fontId="0" fillId="0" borderId="18" xfId="0" applyBorder="1" applyAlignment="1">
      <alignment wrapText="1"/>
    </xf>
    <xf numFmtId="167" fontId="0" fillId="0" borderId="0" xfId="0" applyNumberFormat="1" applyAlignment="1">
      <alignment wrapText="1"/>
    </xf>
    <xf numFmtId="0" fontId="0" fillId="0" borderId="20" xfId="0" applyBorder="1" applyAlignment="1">
      <alignment wrapText="1"/>
    </xf>
    <xf numFmtId="167" fontId="0" fillId="0" borderId="21" xfId="0" applyNumberFormat="1" applyBorder="1" applyAlignment="1">
      <alignment wrapText="1"/>
    </xf>
    <xf numFmtId="0" fontId="5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vertical="center" wrapText="1"/>
    </xf>
    <xf numFmtId="0" fontId="6" fillId="10" borderId="9" xfId="0" applyFont="1" applyFill="1" applyBorder="1" applyAlignment="1">
      <alignment vertical="center" wrapText="1"/>
    </xf>
    <xf numFmtId="0" fontId="6" fillId="10" borderId="10" xfId="0" applyFont="1" applyFill="1" applyBorder="1" applyAlignment="1">
      <alignment vertical="center" wrapText="1"/>
    </xf>
    <xf numFmtId="0" fontId="6" fillId="10" borderId="11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9" borderId="10" xfId="0" applyFont="1" applyFill="1" applyBorder="1" applyAlignment="1">
      <alignment vertical="center" wrapText="1"/>
    </xf>
    <xf numFmtId="0" fontId="6" fillId="9" borderId="11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165" fontId="11" fillId="5" borderId="3" xfId="0" applyNumberFormat="1" applyFont="1" applyFill="1" applyBorder="1" applyAlignment="1">
      <alignment vertical="center" wrapText="1"/>
    </xf>
    <xf numFmtId="165" fontId="11" fillId="5" borderId="4" xfId="0" applyNumberFormat="1" applyFont="1" applyFill="1" applyBorder="1" applyAlignment="1">
      <alignment vertical="center" wrapText="1"/>
    </xf>
    <xf numFmtId="0" fontId="1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3" fillId="13" borderId="15" xfId="0" applyFont="1" applyFill="1" applyBorder="1" applyAlignment="1">
      <alignment vertical="center" wrapText="1"/>
    </xf>
    <xf numFmtId="0" fontId="3" fillId="13" borderId="16" xfId="0" applyFont="1" applyFill="1" applyBorder="1" applyAlignment="1">
      <alignment vertical="center" wrapText="1"/>
    </xf>
    <xf numFmtId="0" fontId="3" fillId="13" borderId="17" xfId="0" applyFont="1" applyFill="1" applyBorder="1" applyAlignment="1">
      <alignment vertical="center" wrapText="1"/>
    </xf>
    <xf numFmtId="0" fontId="3" fillId="13" borderId="18" xfId="0" applyFont="1" applyFill="1" applyBorder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3" fillId="13" borderId="19" xfId="0" applyFont="1" applyFill="1" applyBorder="1" applyAlignment="1">
      <alignment vertical="center" wrapText="1"/>
    </xf>
    <xf numFmtId="0" fontId="3" fillId="13" borderId="20" xfId="0" applyFont="1" applyFill="1" applyBorder="1" applyAlignment="1">
      <alignment vertical="center" wrapText="1"/>
    </xf>
    <xf numFmtId="0" fontId="3" fillId="13" borderId="21" xfId="0" applyFont="1" applyFill="1" applyBorder="1" applyAlignment="1">
      <alignment vertical="center" wrapText="1"/>
    </xf>
    <xf numFmtId="0" fontId="3" fillId="13" borderId="22" xfId="0" applyFont="1" applyFill="1" applyBorder="1" applyAlignment="1">
      <alignment vertical="center" wrapText="1"/>
    </xf>
    <xf numFmtId="0" fontId="4" fillId="15" borderId="15" xfId="0" applyFont="1" applyFill="1" applyBorder="1" applyAlignment="1">
      <alignment vertical="top" wrapText="1"/>
    </xf>
    <xf numFmtId="0" fontId="4" fillId="15" borderId="16" xfId="0" applyFont="1" applyFill="1" applyBorder="1" applyAlignment="1">
      <alignment vertical="top" wrapText="1"/>
    </xf>
    <xf numFmtId="0" fontId="4" fillId="15" borderId="17" xfId="0" applyFont="1" applyFill="1" applyBorder="1" applyAlignment="1">
      <alignment vertical="top" wrapText="1"/>
    </xf>
    <xf numFmtId="0" fontId="4" fillId="15" borderId="18" xfId="0" applyFont="1" applyFill="1" applyBorder="1" applyAlignment="1">
      <alignment vertical="top" wrapText="1"/>
    </xf>
    <xf numFmtId="0" fontId="4" fillId="15" borderId="0" xfId="0" applyFont="1" applyFill="1" applyAlignment="1">
      <alignment vertical="top" wrapText="1"/>
    </xf>
    <xf numFmtId="0" fontId="4" fillId="15" borderId="19" xfId="0" applyFont="1" applyFill="1" applyBorder="1" applyAlignment="1">
      <alignment vertical="top" wrapText="1"/>
    </xf>
    <xf numFmtId="0" fontId="4" fillId="15" borderId="20" xfId="0" applyFont="1" applyFill="1" applyBorder="1" applyAlignment="1">
      <alignment vertical="top" wrapText="1"/>
    </xf>
    <xf numFmtId="0" fontId="4" fillId="15" borderId="21" xfId="0" applyFont="1" applyFill="1" applyBorder="1" applyAlignment="1">
      <alignment vertical="top" wrapText="1"/>
    </xf>
    <xf numFmtId="0" fontId="4" fillId="15" borderId="22" xfId="0" applyFont="1" applyFill="1" applyBorder="1" applyAlignment="1">
      <alignment vertical="top" wrapText="1"/>
    </xf>
  </cellXfs>
  <cellStyles count="1">
    <cellStyle name="Normal" xfId="0" builtinId="0"/>
  </cellStyles>
  <dxfs count="7"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Balanced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Combined_Ranking!$J$4:$J$12</c:f>
              <c:numCache>
                <c:formatCode>0.000</c:formatCode>
                <c:ptCount val="9"/>
                <c:pt idx="0">
                  <c:v>0.8196900662495521</c:v>
                </c:pt>
                <c:pt idx="1">
                  <c:v>0.75529864690808746</c:v>
                </c:pt>
                <c:pt idx="2">
                  <c:v>0.64469314788681464</c:v>
                </c:pt>
                <c:pt idx="3">
                  <c:v>0.69257997477174327</c:v>
                </c:pt>
                <c:pt idx="4">
                  <c:v>0.93605792170816726</c:v>
                </c:pt>
                <c:pt idx="5">
                  <c:v>0.96205682539682547</c:v>
                </c:pt>
                <c:pt idx="6">
                  <c:v>0</c:v>
                </c:pt>
                <c:pt idx="7">
                  <c:v>0.79977400820399136</c:v>
                </c:pt>
                <c:pt idx="8">
                  <c:v>0.86219467931430338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2-45DC-92E0-D5465B654838}"/>
            </c:ext>
          </c:extLst>
        </c:ser>
        <c:ser>
          <c:idx val="1"/>
          <c:order val="1"/>
          <c:tx>
            <c:v>Sensitivity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Combined_Ranking!$K$4:$K$12</c:f>
              <c:numCache>
                <c:formatCode>0.000</c:formatCode>
                <c:ptCount val="9"/>
                <c:pt idx="0">
                  <c:v>0.82655758051332673</c:v>
                </c:pt>
                <c:pt idx="1">
                  <c:v>0.77770202857465098</c:v>
                </c:pt>
                <c:pt idx="2">
                  <c:v>0.6658136910966912</c:v>
                </c:pt>
                <c:pt idx="3">
                  <c:v>0.62925084465917946</c:v>
                </c:pt>
                <c:pt idx="4">
                  <c:v>0.92705219262531047</c:v>
                </c:pt>
                <c:pt idx="5">
                  <c:v>0.97964941798941807</c:v>
                </c:pt>
                <c:pt idx="6">
                  <c:v>0</c:v>
                </c:pt>
                <c:pt idx="7">
                  <c:v>0.8170722282070062</c:v>
                </c:pt>
                <c:pt idx="8">
                  <c:v>0.91003077384897291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2-45DC-92E0-D5465B654838}"/>
            </c:ext>
          </c:extLst>
        </c:ser>
        <c:ser>
          <c:idx val="2"/>
          <c:order val="2"/>
          <c:tx>
            <c:v>Durability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Combined_Ranking!$L$4:$L$12</c:f>
              <c:numCache>
                <c:formatCode>0.000</c:formatCode>
                <c:ptCount val="9"/>
                <c:pt idx="0">
                  <c:v>0.79423122667677593</c:v>
                </c:pt>
                <c:pt idx="1">
                  <c:v>0.72292609115331352</c:v>
                </c:pt>
                <c:pt idx="2">
                  <c:v>0.62013728684103697</c:v>
                </c:pt>
                <c:pt idx="3">
                  <c:v>0.80845726360694836</c:v>
                </c:pt>
                <c:pt idx="4">
                  <c:v>0.95429487355183973</c:v>
                </c:pt>
                <c:pt idx="5">
                  <c:v>0.93855650793650802</c:v>
                </c:pt>
                <c:pt idx="6">
                  <c:v>0</c:v>
                </c:pt>
                <c:pt idx="7">
                  <c:v>0.77162613796542656</c:v>
                </c:pt>
                <c:pt idx="8">
                  <c:v>0.77536095308852737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2-45DC-92E0-D5465B654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Balanced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Combined_Ranking!$J$4:$J$12</c:f>
              <c:numCache>
                <c:formatCode>0.000</c:formatCode>
                <c:ptCount val="9"/>
                <c:pt idx="0">
                  <c:v>0.8196900662495521</c:v>
                </c:pt>
                <c:pt idx="1">
                  <c:v>0.75529864690808746</c:v>
                </c:pt>
                <c:pt idx="2">
                  <c:v>0.64469314788681464</c:v>
                </c:pt>
                <c:pt idx="3">
                  <c:v>0.69257997477174327</c:v>
                </c:pt>
                <c:pt idx="4">
                  <c:v>0.93605792170816726</c:v>
                </c:pt>
                <c:pt idx="5">
                  <c:v>0.96205682539682547</c:v>
                </c:pt>
                <c:pt idx="6">
                  <c:v>0</c:v>
                </c:pt>
                <c:pt idx="7">
                  <c:v>0.79977400820399136</c:v>
                </c:pt>
                <c:pt idx="8">
                  <c:v>0.86219467931430338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0-427C-96DB-EEA44555EB4C}"/>
            </c:ext>
          </c:extLst>
        </c:ser>
        <c:ser>
          <c:idx val="1"/>
          <c:order val="1"/>
          <c:tx>
            <c:v>Sensitivity-first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Combined_Ranking!$K$4:$K$12</c:f>
              <c:numCache>
                <c:formatCode>0.000</c:formatCode>
                <c:ptCount val="9"/>
                <c:pt idx="0">
                  <c:v>0.82655758051332673</c:v>
                </c:pt>
                <c:pt idx="1">
                  <c:v>0.77770202857465098</c:v>
                </c:pt>
                <c:pt idx="2">
                  <c:v>0.6658136910966912</c:v>
                </c:pt>
                <c:pt idx="3">
                  <c:v>0.62925084465917946</c:v>
                </c:pt>
                <c:pt idx="4">
                  <c:v>0.92705219262531047</c:v>
                </c:pt>
                <c:pt idx="5">
                  <c:v>0.97964941798941807</c:v>
                </c:pt>
                <c:pt idx="6">
                  <c:v>0</c:v>
                </c:pt>
                <c:pt idx="7">
                  <c:v>0.8170722282070062</c:v>
                </c:pt>
                <c:pt idx="8">
                  <c:v>0.91003077384897291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0-427C-96DB-EEA44555EB4C}"/>
            </c:ext>
          </c:extLst>
        </c:ser>
        <c:ser>
          <c:idx val="2"/>
          <c:order val="2"/>
          <c:tx>
            <c:v>Durability-first</c:v>
          </c:tx>
          <c:invertIfNegative val="1"/>
          <c:cat>
            <c:numRef>
              <c:f>Combined_Ranking!$A$4:$A$12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Combined_Ranking!$L$4:$L$12</c:f>
              <c:numCache>
                <c:formatCode>0.000</c:formatCode>
                <c:ptCount val="9"/>
                <c:pt idx="0">
                  <c:v>0.79423122667677593</c:v>
                </c:pt>
                <c:pt idx="1">
                  <c:v>0.72292609115331352</c:v>
                </c:pt>
                <c:pt idx="2">
                  <c:v>0.62013728684103697</c:v>
                </c:pt>
                <c:pt idx="3">
                  <c:v>0.80845726360694836</c:v>
                </c:pt>
                <c:pt idx="4">
                  <c:v>0.95429487355183973</c:v>
                </c:pt>
                <c:pt idx="5">
                  <c:v>0.93855650793650802</c:v>
                </c:pt>
                <c:pt idx="6">
                  <c:v>0</c:v>
                </c:pt>
                <c:pt idx="7">
                  <c:v>0.77162613796542656</c:v>
                </c:pt>
                <c:pt idx="8">
                  <c:v>0.77536095308852737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E0-427C-96DB-EEA44555E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Run 1</c:v>
          </c:tx>
          <c:cat>
            <c:numRef>
              <c:f>Force_Curves!$A$4:$A$15</c:f>
              <c:numCache>
                <c:formatCode>0.000000</c:formatCode>
                <c:ptCount val="12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0.65781250000000002</c:v>
                </c:pt>
                <c:pt idx="6">
                  <c:v>0.74531249999999993</c:v>
                </c:pt>
                <c:pt idx="7">
                  <c:v>0.87656250000000002</c:v>
                </c:pt>
                <c:pt idx="8">
                  <c:v>1.0734375</c:v>
                </c:pt>
                <c:pt idx="9">
                  <c:v>1.1352375000000001</c:v>
                </c:pt>
                <c:pt idx="10">
                  <c:v>1.197025</c:v>
                </c:pt>
                <c:pt idx="11">
                  <c:v>1.25</c:v>
                </c:pt>
              </c:numCache>
            </c:numRef>
          </c:cat>
          <c:val>
            <c:numRef>
              <c:f>Force_Curves!$B$4:$B$15</c:f>
              <c:numCache>
                <c:formatCode>0.000000</c:formatCode>
                <c:ptCount val="12"/>
                <c:pt idx="0">
                  <c:v>1.3429E-2</c:v>
                </c:pt>
                <c:pt idx="1">
                  <c:v>2.6261E-2</c:v>
                </c:pt>
                <c:pt idx="2">
                  <c:v>4.4260000000000001E-2</c:v>
                </c:pt>
                <c:pt idx="3">
                  <c:v>6.7856E-2</c:v>
                </c:pt>
                <c:pt idx="4">
                  <c:v>9.5499000000000001E-2</c:v>
                </c:pt>
                <c:pt idx="5">
                  <c:v>0.1124</c:v>
                </c:pt>
                <c:pt idx="6">
                  <c:v>0.15198</c:v>
                </c:pt>
                <c:pt idx="7">
                  <c:v>0.21482000000000001</c:v>
                </c:pt>
                <c:pt idx="8">
                  <c:v>0.31269999999999998</c:v>
                </c:pt>
                <c:pt idx="9">
                  <c:v>0.33812999999999999</c:v>
                </c:pt>
                <c:pt idx="10">
                  <c:v>0.36823</c:v>
                </c:pt>
                <c:pt idx="11">
                  <c:v>0.39382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21-4657-A4A7-CAA4BC999BB8}"/>
            </c:ext>
          </c:extLst>
        </c:ser>
        <c:ser>
          <c:idx val="1"/>
          <c:order val="1"/>
          <c:tx>
            <c:v>Run 2</c:v>
          </c:tx>
          <c:cat>
            <c:numRef>
              <c:f>Force_Curves!$C$4:$C$25</c:f>
              <c:numCache>
                <c:formatCode>0.000000</c:formatCode>
                <c:ptCount val="22"/>
                <c:pt idx="0">
                  <c:v>2.5000000000000001E-2</c:v>
                </c:pt>
                <c:pt idx="1">
                  <c:v>0.05</c:v>
                </c:pt>
                <c:pt idx="2">
                  <c:v>8.7500000000000008E-2</c:v>
                </c:pt>
                <c:pt idx="3">
                  <c:v>0.14375000000000002</c:v>
                </c:pt>
                <c:pt idx="4">
                  <c:v>0.20625000000000002</c:v>
                </c:pt>
                <c:pt idx="5">
                  <c:v>0.26874999999999999</c:v>
                </c:pt>
                <c:pt idx="6">
                  <c:v>0.33125000000000004</c:v>
                </c:pt>
                <c:pt idx="7">
                  <c:v>0.39374999999999999</c:v>
                </c:pt>
                <c:pt idx="8">
                  <c:v>0.45624999999999999</c:v>
                </c:pt>
                <c:pt idx="9">
                  <c:v>0.51874999999999993</c:v>
                </c:pt>
                <c:pt idx="10">
                  <c:v>0.58125000000000004</c:v>
                </c:pt>
                <c:pt idx="11">
                  <c:v>0.64375000000000004</c:v>
                </c:pt>
                <c:pt idx="12">
                  <c:v>0.70624999999999993</c:v>
                </c:pt>
                <c:pt idx="13">
                  <c:v>0.76875000000000004</c:v>
                </c:pt>
                <c:pt idx="14">
                  <c:v>0.83125000000000004</c:v>
                </c:pt>
                <c:pt idx="15">
                  <c:v>0.89374999999999993</c:v>
                </c:pt>
                <c:pt idx="16">
                  <c:v>0.95625000000000004</c:v>
                </c:pt>
                <c:pt idx="17">
                  <c:v>1.0187499999999998</c:v>
                </c:pt>
                <c:pt idx="18">
                  <c:v>1.08125</c:v>
                </c:pt>
                <c:pt idx="19">
                  <c:v>1.14375</c:v>
                </c:pt>
                <c:pt idx="20">
                  <c:v>1.20625</c:v>
                </c:pt>
                <c:pt idx="21">
                  <c:v>1.25</c:v>
                </c:pt>
              </c:numCache>
            </c:numRef>
          </c:cat>
          <c:val>
            <c:numRef>
              <c:f>Force_Curves!$D$4:$D$25</c:f>
              <c:numCache>
                <c:formatCode>0.000000</c:formatCode>
                <c:ptCount val="22"/>
                <c:pt idx="0">
                  <c:v>4.9007E-3</c:v>
                </c:pt>
                <c:pt idx="1">
                  <c:v>9.7648000000000006E-3</c:v>
                </c:pt>
                <c:pt idx="2">
                  <c:v>1.6989000000000001E-2</c:v>
                </c:pt>
                <c:pt idx="3">
                  <c:v>2.7654999999999999E-2</c:v>
                </c:pt>
                <c:pt idx="4">
                  <c:v>3.9246000000000003E-2</c:v>
                </c:pt>
                <c:pt idx="5">
                  <c:v>5.0535999999999998E-2</c:v>
                </c:pt>
                <c:pt idx="6">
                  <c:v>6.1498999999999998E-2</c:v>
                </c:pt>
                <c:pt idx="7">
                  <c:v>7.2107000000000004E-2</c:v>
                </c:pt>
                <c:pt idx="8">
                  <c:v>8.233E-2</c:v>
                </c:pt>
                <c:pt idx="9">
                  <c:v>9.2137999999999998E-2</c:v>
                </c:pt>
                <c:pt idx="10">
                  <c:v>0.10150000000000001</c:v>
                </c:pt>
                <c:pt idx="11">
                  <c:v>0.11064</c:v>
                </c:pt>
                <c:pt idx="12">
                  <c:v>0.12039999999999999</c:v>
                </c:pt>
                <c:pt idx="13">
                  <c:v>0.12995999999999999</c:v>
                </c:pt>
                <c:pt idx="14">
                  <c:v>0.14194000000000001</c:v>
                </c:pt>
                <c:pt idx="15">
                  <c:v>0.156</c:v>
                </c:pt>
                <c:pt idx="16">
                  <c:v>0.17047000000000001</c:v>
                </c:pt>
                <c:pt idx="17">
                  <c:v>0.18629000000000001</c:v>
                </c:pt>
                <c:pt idx="18">
                  <c:v>0.20280999999999999</c:v>
                </c:pt>
                <c:pt idx="19">
                  <c:v>0.22066</c:v>
                </c:pt>
                <c:pt idx="20">
                  <c:v>0.23935000000000001</c:v>
                </c:pt>
                <c:pt idx="21">
                  <c:v>0.25363000000000002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21-4657-A4A7-CAA4BC999BB8}"/>
            </c:ext>
          </c:extLst>
        </c:ser>
        <c:ser>
          <c:idx val="2"/>
          <c:order val="2"/>
          <c:tx>
            <c:v>Run 3</c:v>
          </c:tx>
          <c:cat>
            <c:numRef>
              <c:f>Force_Curves!$E$4:$E$11</c:f>
              <c:numCache>
                <c:formatCode>0.000000</c:formatCode>
                <c:ptCount val="8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0.8203125</c:v>
                </c:pt>
                <c:pt idx="6">
                  <c:v>1.0703125</c:v>
                </c:pt>
                <c:pt idx="7">
                  <c:v>1.25</c:v>
                </c:pt>
              </c:numCache>
            </c:numRef>
          </c:cat>
          <c:val>
            <c:numRef>
              <c:f>Force_Curves!$F$4:$F$11</c:f>
              <c:numCache>
                <c:formatCode>0.000000</c:formatCode>
                <c:ptCount val="8"/>
                <c:pt idx="0">
                  <c:v>1.0945E-2</c:v>
                </c:pt>
                <c:pt idx="1">
                  <c:v>2.1736999999999999E-2</c:v>
                </c:pt>
                <c:pt idx="2">
                  <c:v>3.7612E-2</c:v>
                </c:pt>
                <c:pt idx="3">
                  <c:v>6.0665999999999998E-2</c:v>
                </c:pt>
                <c:pt idx="4">
                  <c:v>9.3023999999999996E-2</c:v>
                </c:pt>
                <c:pt idx="5">
                  <c:v>0.12758</c:v>
                </c:pt>
                <c:pt idx="6">
                  <c:v>0.15845999999999999</c:v>
                </c:pt>
                <c:pt idx="7">
                  <c:v>0.18224000000000001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21-4657-A4A7-CAA4BC999BB8}"/>
            </c:ext>
          </c:extLst>
        </c:ser>
        <c:ser>
          <c:idx val="3"/>
          <c:order val="3"/>
          <c:tx>
            <c:v>Run 4</c:v>
          </c:tx>
          <c:cat>
            <c:numRef>
              <c:f>Force_Curves!$G$4:$G$13</c:f>
              <c:numCache>
                <c:formatCode>0.000000</c:formatCode>
                <c:ptCount val="10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0.78125</c:v>
                </c:pt>
                <c:pt idx="6">
                  <c:v>0.86874999999999991</c:v>
                </c:pt>
                <c:pt idx="7">
                  <c:v>0.95625000000000004</c:v>
                </c:pt>
                <c:pt idx="8">
                  <c:v>1.0874999999999999</c:v>
                </c:pt>
                <c:pt idx="9">
                  <c:v>1.25</c:v>
                </c:pt>
              </c:numCache>
            </c:numRef>
          </c:cat>
          <c:val>
            <c:numRef>
              <c:f>Force_Curves!$H$4:$H$13</c:f>
              <c:numCache>
                <c:formatCode>0.000000</c:formatCode>
                <c:ptCount val="10"/>
                <c:pt idx="0">
                  <c:v>2.8407000000000002E-2</c:v>
                </c:pt>
                <c:pt idx="1">
                  <c:v>5.6784000000000001E-2</c:v>
                </c:pt>
                <c:pt idx="2">
                  <c:v>9.8996000000000001E-2</c:v>
                </c:pt>
                <c:pt idx="3">
                  <c:v>0.16073000000000001</c:v>
                </c:pt>
                <c:pt idx="4">
                  <c:v>0.26308999999999999</c:v>
                </c:pt>
                <c:pt idx="5">
                  <c:v>0.49070999999999998</c:v>
                </c:pt>
                <c:pt idx="6">
                  <c:v>0.60424</c:v>
                </c:pt>
                <c:pt idx="7">
                  <c:v>0.7228</c:v>
                </c:pt>
                <c:pt idx="8">
                  <c:v>0.91639000000000004</c:v>
                </c:pt>
                <c:pt idx="9">
                  <c:v>1.1660999999999999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21-4657-A4A7-CAA4BC999BB8}"/>
            </c:ext>
          </c:extLst>
        </c:ser>
        <c:ser>
          <c:idx val="4"/>
          <c:order val="4"/>
          <c:tx>
            <c:v>Run 5</c:v>
          </c:tx>
          <c:cat>
            <c:numRef>
              <c:f>Force_Curves!$I$4:$I$11</c:f>
              <c:numCache>
                <c:formatCode>0.000000</c:formatCode>
                <c:ptCount val="8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0.8203125</c:v>
                </c:pt>
                <c:pt idx="6">
                  <c:v>1.0703125</c:v>
                </c:pt>
                <c:pt idx="7">
                  <c:v>1.25</c:v>
                </c:pt>
              </c:numCache>
            </c:numRef>
          </c:cat>
          <c:val>
            <c:numRef>
              <c:f>Force_Curves!$J$4:$J$11</c:f>
              <c:numCache>
                <c:formatCode>0.000000</c:formatCode>
                <c:ptCount val="8"/>
                <c:pt idx="0">
                  <c:v>2.5558999999999998E-2</c:v>
                </c:pt>
                <c:pt idx="1">
                  <c:v>5.1166000000000003E-2</c:v>
                </c:pt>
                <c:pt idx="2">
                  <c:v>8.9597999999999997E-2</c:v>
                </c:pt>
                <c:pt idx="3">
                  <c:v>0.14704999999999999</c:v>
                </c:pt>
                <c:pt idx="4">
                  <c:v>0.23158000000000001</c:v>
                </c:pt>
                <c:pt idx="5">
                  <c:v>0.32634999999999997</c:v>
                </c:pt>
                <c:pt idx="6">
                  <c:v>0.42595</c:v>
                </c:pt>
                <c:pt idx="7">
                  <c:v>0.52946000000000004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21-4657-A4A7-CAA4BC999BB8}"/>
            </c:ext>
          </c:extLst>
        </c:ser>
        <c:ser>
          <c:idx val="5"/>
          <c:order val="5"/>
          <c:tx>
            <c:v>Run 6</c:v>
          </c:tx>
          <c:cat>
            <c:numRef>
              <c:f>Force_Curves!$K$4:$K$11</c:f>
              <c:numCache>
                <c:formatCode>0.000000</c:formatCode>
                <c:ptCount val="8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0.8203125</c:v>
                </c:pt>
                <c:pt idx="6">
                  <c:v>1.0703125</c:v>
                </c:pt>
                <c:pt idx="7">
                  <c:v>1.25</c:v>
                </c:pt>
              </c:numCache>
            </c:numRef>
          </c:cat>
          <c:val>
            <c:numRef>
              <c:f>Force_Curves!$L$4:$L$11</c:f>
              <c:numCache>
                <c:formatCode>0.000000</c:formatCode>
                <c:ptCount val="8"/>
                <c:pt idx="0">
                  <c:v>2.0604000000000001E-2</c:v>
                </c:pt>
                <c:pt idx="1">
                  <c:v>4.1182000000000003E-2</c:v>
                </c:pt>
                <c:pt idx="2">
                  <c:v>7.1961999999999998E-2</c:v>
                </c:pt>
                <c:pt idx="3">
                  <c:v>0.11779000000000001</c:v>
                </c:pt>
                <c:pt idx="4">
                  <c:v>0.18529000000000001</c:v>
                </c:pt>
                <c:pt idx="5">
                  <c:v>0.26174999999999998</c:v>
                </c:pt>
                <c:pt idx="6">
                  <c:v>0.33187</c:v>
                </c:pt>
                <c:pt idx="7">
                  <c:v>0.38815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21-4657-A4A7-CAA4BC999BB8}"/>
            </c:ext>
          </c:extLst>
        </c:ser>
        <c:ser>
          <c:idx val="6"/>
          <c:order val="6"/>
          <c:tx>
            <c:v>Run 8</c:v>
          </c:tx>
          <c:cat>
            <c:numRef>
              <c:f>Force_Curves!$O$4:$O$11</c:f>
              <c:numCache>
                <c:formatCode>0.000000</c:formatCode>
                <c:ptCount val="8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0.8203125</c:v>
                </c:pt>
                <c:pt idx="6">
                  <c:v>1.0703125</c:v>
                </c:pt>
                <c:pt idx="7">
                  <c:v>1.25</c:v>
                </c:pt>
              </c:numCache>
            </c:numRef>
          </c:cat>
          <c:val>
            <c:numRef>
              <c:f>Force_Curves!$P$4:$P$11</c:f>
              <c:numCache>
                <c:formatCode>0.000000</c:formatCode>
                <c:ptCount val="8"/>
                <c:pt idx="0">
                  <c:v>2.7823000000000001E-2</c:v>
                </c:pt>
                <c:pt idx="1">
                  <c:v>5.5775999999999999E-2</c:v>
                </c:pt>
                <c:pt idx="2">
                  <c:v>9.7855999999999999E-2</c:v>
                </c:pt>
                <c:pt idx="3">
                  <c:v>0.16089999999999999</c:v>
                </c:pt>
                <c:pt idx="4">
                  <c:v>0.25475999999999999</c:v>
                </c:pt>
                <c:pt idx="5">
                  <c:v>0.38357999999999998</c:v>
                </c:pt>
                <c:pt idx="6">
                  <c:v>0.60392999999999997</c:v>
                </c:pt>
                <c:pt idx="7">
                  <c:v>0.80257999999999996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21-4657-A4A7-CAA4BC999BB8}"/>
            </c:ext>
          </c:extLst>
        </c:ser>
        <c:ser>
          <c:idx val="7"/>
          <c:order val="7"/>
          <c:tx>
            <c:v>Run 9</c:v>
          </c:tx>
          <c:cat>
            <c:numRef>
              <c:f>Force_Curves!$Q$4:$Q$11</c:f>
              <c:numCache>
                <c:formatCode>0.000000</c:formatCode>
                <c:ptCount val="8"/>
                <c:pt idx="0">
                  <c:v>6.25E-2</c:v>
                </c:pt>
                <c:pt idx="1">
                  <c:v>0.125</c:v>
                </c:pt>
                <c:pt idx="2">
                  <c:v>0.21875</c:v>
                </c:pt>
                <c:pt idx="3">
                  <c:v>0.359375</c:v>
                </c:pt>
                <c:pt idx="4">
                  <c:v>0.5703125</c:v>
                </c:pt>
                <c:pt idx="5">
                  <c:v>0.8203125</c:v>
                </c:pt>
                <c:pt idx="6">
                  <c:v>1.0703125</c:v>
                </c:pt>
                <c:pt idx="7">
                  <c:v>1.25</c:v>
                </c:pt>
              </c:numCache>
            </c:numRef>
          </c:cat>
          <c:val>
            <c:numRef>
              <c:f>Force_Curves!$R$4:$R$11</c:f>
              <c:numCache>
                <c:formatCode>0.000000</c:formatCode>
                <c:ptCount val="8"/>
                <c:pt idx="0">
                  <c:v>2.5557E-2</c:v>
                </c:pt>
                <c:pt idx="1">
                  <c:v>5.1220000000000002E-2</c:v>
                </c:pt>
                <c:pt idx="2">
                  <c:v>8.9865E-2</c:v>
                </c:pt>
                <c:pt idx="3">
                  <c:v>0.14796999999999999</c:v>
                </c:pt>
                <c:pt idx="4">
                  <c:v>0.23513999999999999</c:v>
                </c:pt>
                <c:pt idx="5">
                  <c:v>0.33639999999999998</c:v>
                </c:pt>
                <c:pt idx="6">
                  <c:v>0.45948</c:v>
                </c:pt>
                <c:pt idx="7">
                  <c:v>0.58160999999999996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21-4657-A4A7-CAA4BC999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Run 7 diagnostic</c:v>
          </c:tx>
          <c:cat>
            <c:numRef>
              <c:f>Force_Curves!$M$4:$M$111</c:f>
              <c:numCache>
                <c:formatCode>0.000000</c:formatCode>
                <c:ptCount val="108"/>
                <c:pt idx="0">
                  <c:v>3.7499999999999999E-3</c:v>
                </c:pt>
                <c:pt idx="1">
                  <c:v>7.4999999999999997E-3</c:v>
                </c:pt>
                <c:pt idx="2">
                  <c:v>1.3125000000000001E-2</c:v>
                </c:pt>
                <c:pt idx="3">
                  <c:v>2.0625000000000001E-2</c:v>
                </c:pt>
                <c:pt idx="4">
                  <c:v>2.8124999999999997E-2</c:v>
                </c:pt>
                <c:pt idx="5">
                  <c:v>3.5625000000000004E-2</c:v>
                </c:pt>
                <c:pt idx="6">
                  <c:v>4.3125000000000004E-2</c:v>
                </c:pt>
                <c:pt idx="7">
                  <c:v>5.0625000000000003E-2</c:v>
                </c:pt>
                <c:pt idx="8">
                  <c:v>5.8124999999999996E-2</c:v>
                </c:pt>
                <c:pt idx="9">
                  <c:v>6.5624999999999989E-2</c:v>
                </c:pt>
                <c:pt idx="10">
                  <c:v>7.3124999999999996E-2</c:v>
                </c:pt>
                <c:pt idx="11">
                  <c:v>8.0625000000000002E-2</c:v>
                </c:pt>
                <c:pt idx="12">
                  <c:v>8.8124999999999995E-2</c:v>
                </c:pt>
                <c:pt idx="13">
                  <c:v>9.5625000000000002E-2</c:v>
                </c:pt>
                <c:pt idx="14">
                  <c:v>0.10312500000000001</c:v>
                </c:pt>
                <c:pt idx="15">
                  <c:v>0.110625</c:v>
                </c:pt>
                <c:pt idx="16">
                  <c:v>0.11812500000000001</c:v>
                </c:pt>
                <c:pt idx="17">
                  <c:v>0.12562500000000001</c:v>
                </c:pt>
                <c:pt idx="18">
                  <c:v>0.13312499999999999</c:v>
                </c:pt>
                <c:pt idx="19">
                  <c:v>0.140625</c:v>
                </c:pt>
                <c:pt idx="20">
                  <c:v>0.14812500000000001</c:v>
                </c:pt>
                <c:pt idx="21">
                  <c:v>0.15562499999999999</c:v>
                </c:pt>
                <c:pt idx="22">
                  <c:v>0.16312499999999999</c:v>
                </c:pt>
                <c:pt idx="23">
                  <c:v>0.170625</c:v>
                </c:pt>
                <c:pt idx="24">
                  <c:v>0.17812499999999998</c:v>
                </c:pt>
                <c:pt idx="25">
                  <c:v>0.18562499999999998</c:v>
                </c:pt>
                <c:pt idx="26">
                  <c:v>0.19312499999999999</c:v>
                </c:pt>
                <c:pt idx="27">
                  <c:v>0.200625</c:v>
                </c:pt>
                <c:pt idx="28">
                  <c:v>0.208125</c:v>
                </c:pt>
                <c:pt idx="29">
                  <c:v>0.21562499999999998</c:v>
                </c:pt>
                <c:pt idx="30">
                  <c:v>0.22312499999999999</c:v>
                </c:pt>
                <c:pt idx="31">
                  <c:v>0.230625</c:v>
                </c:pt>
                <c:pt idx="32">
                  <c:v>0.238125</c:v>
                </c:pt>
                <c:pt idx="33">
                  <c:v>0.24562500000000001</c:v>
                </c:pt>
                <c:pt idx="34">
                  <c:v>0.25312500000000004</c:v>
                </c:pt>
                <c:pt idx="35">
                  <c:v>0.260625</c:v>
                </c:pt>
                <c:pt idx="36">
                  <c:v>0.268125</c:v>
                </c:pt>
                <c:pt idx="37">
                  <c:v>0.27562500000000001</c:v>
                </c:pt>
                <c:pt idx="38">
                  <c:v>0.28312500000000002</c:v>
                </c:pt>
                <c:pt idx="39">
                  <c:v>0.29062500000000002</c:v>
                </c:pt>
                <c:pt idx="40">
                  <c:v>0.29812500000000003</c:v>
                </c:pt>
                <c:pt idx="41">
                  <c:v>0.30562499999999998</c:v>
                </c:pt>
                <c:pt idx="42">
                  <c:v>0.31312499999999999</c:v>
                </c:pt>
                <c:pt idx="43">
                  <c:v>0.32062499999999999</c:v>
                </c:pt>
                <c:pt idx="44">
                  <c:v>0.328125</c:v>
                </c:pt>
                <c:pt idx="45">
                  <c:v>0.33562500000000001</c:v>
                </c:pt>
                <c:pt idx="46">
                  <c:v>0.34312500000000001</c:v>
                </c:pt>
                <c:pt idx="47">
                  <c:v>0.35062500000000002</c:v>
                </c:pt>
                <c:pt idx="48">
                  <c:v>0.35812499999999997</c:v>
                </c:pt>
                <c:pt idx="49">
                  <c:v>0.36562499999999998</c:v>
                </c:pt>
                <c:pt idx="50">
                  <c:v>0.37312499999999998</c:v>
                </c:pt>
                <c:pt idx="51">
                  <c:v>0.38062499999999999</c:v>
                </c:pt>
                <c:pt idx="52">
                  <c:v>0.38812499999999994</c:v>
                </c:pt>
                <c:pt idx="53">
                  <c:v>0.395625</c:v>
                </c:pt>
                <c:pt idx="54">
                  <c:v>0.40312499999999996</c:v>
                </c:pt>
                <c:pt idx="55">
                  <c:v>0.41062500000000002</c:v>
                </c:pt>
                <c:pt idx="56">
                  <c:v>0.41812499999999997</c:v>
                </c:pt>
                <c:pt idx="57">
                  <c:v>0.42562500000000003</c:v>
                </c:pt>
                <c:pt idx="58">
                  <c:v>0.43312499999999998</c:v>
                </c:pt>
                <c:pt idx="59">
                  <c:v>0.44062500000000004</c:v>
                </c:pt>
                <c:pt idx="60">
                  <c:v>0.448125</c:v>
                </c:pt>
                <c:pt idx="61">
                  <c:v>0.45562500000000006</c:v>
                </c:pt>
                <c:pt idx="62">
                  <c:v>0.46312500000000001</c:v>
                </c:pt>
                <c:pt idx="63">
                  <c:v>0.47062499999999996</c:v>
                </c:pt>
                <c:pt idx="64">
                  <c:v>0.47812499999999997</c:v>
                </c:pt>
                <c:pt idx="65">
                  <c:v>0.48562499999999997</c:v>
                </c:pt>
                <c:pt idx="66">
                  <c:v>0.49312499999999998</c:v>
                </c:pt>
                <c:pt idx="67">
                  <c:v>0.50062499999999999</c:v>
                </c:pt>
                <c:pt idx="68">
                  <c:v>0.50812499999999994</c:v>
                </c:pt>
                <c:pt idx="69">
                  <c:v>0.515625</c:v>
                </c:pt>
                <c:pt idx="70">
                  <c:v>0.52312500000000006</c:v>
                </c:pt>
                <c:pt idx="71">
                  <c:v>0.53062500000000001</c:v>
                </c:pt>
                <c:pt idx="72">
                  <c:v>0.53812499999999996</c:v>
                </c:pt>
                <c:pt idx="73">
                  <c:v>0.54562500000000003</c:v>
                </c:pt>
                <c:pt idx="74">
                  <c:v>0.55312500000000009</c:v>
                </c:pt>
                <c:pt idx="75">
                  <c:v>0.56062500000000004</c:v>
                </c:pt>
                <c:pt idx="76">
                  <c:v>0.57562499999999994</c:v>
                </c:pt>
                <c:pt idx="77">
                  <c:v>0.583125</c:v>
                </c:pt>
                <c:pt idx="78">
                  <c:v>0.59062499999999996</c:v>
                </c:pt>
                <c:pt idx="79">
                  <c:v>0.59812500000000002</c:v>
                </c:pt>
                <c:pt idx="80">
                  <c:v>0.60562499999999997</c:v>
                </c:pt>
                <c:pt idx="81">
                  <c:v>0.61312500000000003</c:v>
                </c:pt>
                <c:pt idx="82">
                  <c:v>0.62062499999999998</c:v>
                </c:pt>
                <c:pt idx="83">
                  <c:v>0.62812500000000004</c:v>
                </c:pt>
                <c:pt idx="84">
                  <c:v>0.635625</c:v>
                </c:pt>
                <c:pt idx="85">
                  <c:v>0.64312500000000006</c:v>
                </c:pt>
                <c:pt idx="86">
                  <c:v>0.65062500000000001</c:v>
                </c:pt>
                <c:pt idx="87">
                  <c:v>0.65812499999999996</c:v>
                </c:pt>
                <c:pt idx="88">
                  <c:v>0.66562499999999991</c:v>
                </c:pt>
                <c:pt idx="89">
                  <c:v>0.67312499999999997</c:v>
                </c:pt>
                <c:pt idx="90">
                  <c:v>0.68062500000000004</c:v>
                </c:pt>
                <c:pt idx="91">
                  <c:v>0.68812499999999999</c:v>
                </c:pt>
                <c:pt idx="92">
                  <c:v>0.69562499999999994</c:v>
                </c:pt>
                <c:pt idx="93">
                  <c:v>0.703125</c:v>
                </c:pt>
                <c:pt idx="94">
                  <c:v>0.71062500000000006</c:v>
                </c:pt>
                <c:pt idx="95">
                  <c:v>0.71812500000000001</c:v>
                </c:pt>
                <c:pt idx="96">
                  <c:v>0.72562499999999996</c:v>
                </c:pt>
                <c:pt idx="97">
                  <c:v>0.73312500000000003</c:v>
                </c:pt>
                <c:pt idx="98">
                  <c:v>0.74062500000000009</c:v>
                </c:pt>
                <c:pt idx="99">
                  <c:v>0.74531250000000004</c:v>
                </c:pt>
                <c:pt idx="100">
                  <c:v>0.75</c:v>
                </c:pt>
                <c:pt idx="101">
                  <c:v>0.85</c:v>
                </c:pt>
                <c:pt idx="102">
                  <c:v>0.95</c:v>
                </c:pt>
                <c:pt idx="103">
                  <c:v>1.1000000000000001</c:v>
                </c:pt>
                <c:pt idx="104">
                  <c:v>1.12625</c:v>
                </c:pt>
                <c:pt idx="105">
                  <c:v>1.1394</c:v>
                </c:pt>
                <c:pt idx="106">
                  <c:v>1.1426500000000002</c:v>
                </c:pt>
                <c:pt idx="107">
                  <c:v>1.25</c:v>
                </c:pt>
              </c:numCache>
            </c:numRef>
          </c:cat>
          <c:val>
            <c:numRef>
              <c:f>Force_Curves!$N$4:$N$111</c:f>
              <c:numCache>
                <c:formatCode>0.000000</c:formatCode>
                <c:ptCount val="108"/>
                <c:pt idx="0">
                  <c:v>2.6735999999999999E-3</c:v>
                </c:pt>
                <c:pt idx="1">
                  <c:v>5.3486000000000002E-3</c:v>
                </c:pt>
                <c:pt idx="2">
                  <c:v>9.3638000000000002E-3</c:v>
                </c:pt>
                <c:pt idx="3">
                  <c:v>1.4722000000000001E-2</c:v>
                </c:pt>
                <c:pt idx="4">
                  <c:v>2.0087000000000001E-2</c:v>
                </c:pt>
                <c:pt idx="5">
                  <c:v>2.5455999999999999E-2</c:v>
                </c:pt>
                <c:pt idx="6">
                  <c:v>3.0831000000000001E-2</c:v>
                </c:pt>
                <c:pt idx="7">
                  <c:v>3.6211E-2</c:v>
                </c:pt>
                <c:pt idx="8">
                  <c:v>4.1596000000000001E-2</c:v>
                </c:pt>
                <c:pt idx="9">
                  <c:v>4.6984999999999999E-2</c:v>
                </c:pt>
                <c:pt idx="10">
                  <c:v>5.2379000000000002E-2</c:v>
                </c:pt>
                <c:pt idx="11">
                  <c:v>5.7778000000000003E-2</c:v>
                </c:pt>
                <c:pt idx="12">
                  <c:v>6.3181000000000001E-2</c:v>
                </c:pt>
                <c:pt idx="13">
                  <c:v>6.8588999999999997E-2</c:v>
                </c:pt>
                <c:pt idx="14">
                  <c:v>7.3999999999999996E-2</c:v>
                </c:pt>
                <c:pt idx="15">
                  <c:v>7.9416E-2</c:v>
                </c:pt>
                <c:pt idx="16">
                  <c:v>8.4834999999999994E-2</c:v>
                </c:pt>
                <c:pt idx="17">
                  <c:v>9.0257000000000004E-2</c:v>
                </c:pt>
                <c:pt idx="18">
                  <c:v>9.5683000000000004E-2</c:v>
                </c:pt>
                <c:pt idx="19">
                  <c:v>0.10111000000000001</c:v>
                </c:pt>
                <c:pt idx="20">
                  <c:v>0.10655000000000001</c:v>
                </c:pt>
                <c:pt idx="21">
                  <c:v>0.11198</c:v>
                </c:pt>
                <c:pt idx="22">
                  <c:v>0.11742</c:v>
                </c:pt>
                <c:pt idx="23">
                  <c:v>0.12286</c:v>
                </c:pt>
                <c:pt idx="24">
                  <c:v>0.1283</c:v>
                </c:pt>
                <c:pt idx="25">
                  <c:v>0.13375000000000001</c:v>
                </c:pt>
                <c:pt idx="26">
                  <c:v>0.13919999999999999</c:v>
                </c:pt>
                <c:pt idx="27">
                  <c:v>0.14463999999999999</c:v>
                </c:pt>
                <c:pt idx="28">
                  <c:v>0.15010000000000001</c:v>
                </c:pt>
                <c:pt idx="29">
                  <c:v>0.15554999999999999</c:v>
                </c:pt>
                <c:pt idx="30">
                  <c:v>0.161</c:v>
                </c:pt>
                <c:pt idx="31">
                  <c:v>0.16646</c:v>
                </c:pt>
                <c:pt idx="32">
                  <c:v>0.17191999999999999</c:v>
                </c:pt>
                <c:pt idx="33">
                  <c:v>0.17737</c:v>
                </c:pt>
                <c:pt idx="34">
                  <c:v>0.18282999999999999</c:v>
                </c:pt>
                <c:pt idx="35">
                  <c:v>0.18829000000000001</c:v>
                </c:pt>
                <c:pt idx="36">
                  <c:v>0.19375000000000001</c:v>
                </c:pt>
                <c:pt idx="37">
                  <c:v>0.19921</c:v>
                </c:pt>
                <c:pt idx="38">
                  <c:v>0.20466999999999999</c:v>
                </c:pt>
                <c:pt idx="39">
                  <c:v>0.21013000000000001</c:v>
                </c:pt>
                <c:pt idx="40">
                  <c:v>0.21559</c:v>
                </c:pt>
                <c:pt idx="41">
                  <c:v>0.22105</c:v>
                </c:pt>
                <c:pt idx="42">
                  <c:v>0.22650999999999999</c:v>
                </c:pt>
                <c:pt idx="43">
                  <c:v>0.23197000000000001</c:v>
                </c:pt>
                <c:pt idx="44">
                  <c:v>0.23741999999999999</c:v>
                </c:pt>
                <c:pt idx="45">
                  <c:v>0.24288000000000001</c:v>
                </c:pt>
                <c:pt idx="46">
                  <c:v>0.24834000000000001</c:v>
                </c:pt>
                <c:pt idx="47">
                  <c:v>0.25379000000000002</c:v>
                </c:pt>
                <c:pt idx="48">
                  <c:v>0.25924000000000003</c:v>
                </c:pt>
                <c:pt idx="49">
                  <c:v>0.26469999999999999</c:v>
                </c:pt>
                <c:pt idx="50">
                  <c:v>0.27015</c:v>
                </c:pt>
                <c:pt idx="51">
                  <c:v>0.27560000000000001</c:v>
                </c:pt>
                <c:pt idx="52">
                  <c:v>0.28104000000000001</c:v>
                </c:pt>
                <c:pt idx="53">
                  <c:v>0.28649000000000002</c:v>
                </c:pt>
                <c:pt idx="54">
                  <c:v>0.29193000000000002</c:v>
                </c:pt>
                <c:pt idx="55">
                  <c:v>0.29737000000000002</c:v>
                </c:pt>
                <c:pt idx="56">
                  <c:v>0.30281000000000002</c:v>
                </c:pt>
                <c:pt idx="57">
                  <c:v>0.30825000000000002</c:v>
                </c:pt>
                <c:pt idx="58">
                  <c:v>0.31368000000000001</c:v>
                </c:pt>
                <c:pt idx="59">
                  <c:v>0.31912000000000001</c:v>
                </c:pt>
                <c:pt idx="60">
                  <c:v>0.32455000000000001</c:v>
                </c:pt>
                <c:pt idx="61">
                  <c:v>0.32996999999999999</c:v>
                </c:pt>
                <c:pt idx="62">
                  <c:v>0.33539999999999998</c:v>
                </c:pt>
                <c:pt idx="63">
                  <c:v>0.34082000000000001</c:v>
                </c:pt>
                <c:pt idx="64">
                  <c:v>0.34623999999999999</c:v>
                </c:pt>
                <c:pt idx="65">
                  <c:v>0.35215000000000002</c:v>
                </c:pt>
                <c:pt idx="66">
                  <c:v>0.35913</c:v>
                </c:pt>
                <c:pt idx="67">
                  <c:v>0.36642000000000002</c:v>
                </c:pt>
                <c:pt idx="68">
                  <c:v>0.37413000000000002</c:v>
                </c:pt>
                <c:pt idx="69">
                  <c:v>0.38258999999999999</c:v>
                </c:pt>
                <c:pt idx="70">
                  <c:v>0.39143</c:v>
                </c:pt>
                <c:pt idx="71">
                  <c:v>0.40106999999999998</c:v>
                </c:pt>
                <c:pt idx="72">
                  <c:v>0.41094000000000003</c:v>
                </c:pt>
                <c:pt idx="73">
                  <c:v>0.42087000000000002</c:v>
                </c:pt>
                <c:pt idx="74">
                  <c:v>0.43092999999999998</c:v>
                </c:pt>
                <c:pt idx="75">
                  <c:v>0.44146000000000002</c:v>
                </c:pt>
                <c:pt idx="76">
                  <c:v>0.46318999999999999</c:v>
                </c:pt>
                <c:pt idx="77">
                  <c:v>0.47425</c:v>
                </c:pt>
                <c:pt idx="78">
                  <c:v>0.48569000000000001</c:v>
                </c:pt>
                <c:pt idx="79">
                  <c:v>0.49747999999999998</c:v>
                </c:pt>
                <c:pt idx="80">
                  <c:v>0.50938000000000005</c:v>
                </c:pt>
                <c:pt idx="81">
                  <c:v>0.52203999999999995</c:v>
                </c:pt>
                <c:pt idx="82">
                  <c:v>0.53510999999999997</c:v>
                </c:pt>
                <c:pt idx="83">
                  <c:v>0.54890000000000005</c:v>
                </c:pt>
                <c:pt idx="84">
                  <c:v>0.56298999999999999</c:v>
                </c:pt>
                <c:pt idx="85">
                  <c:v>0.57735000000000003</c:v>
                </c:pt>
                <c:pt idx="86">
                  <c:v>0.59182999999999997</c:v>
                </c:pt>
                <c:pt idx="87">
                  <c:v>0.60643999999999998</c:v>
                </c:pt>
                <c:pt idx="88">
                  <c:v>0.62117</c:v>
                </c:pt>
                <c:pt idx="89">
                  <c:v>0.63602000000000003</c:v>
                </c:pt>
                <c:pt idx="90">
                  <c:v>0.65103</c:v>
                </c:pt>
                <c:pt idx="91">
                  <c:v>0.66617000000000004</c:v>
                </c:pt>
                <c:pt idx="92">
                  <c:v>0.68144000000000005</c:v>
                </c:pt>
                <c:pt idx="93">
                  <c:v>0.69686000000000003</c:v>
                </c:pt>
                <c:pt idx="94">
                  <c:v>0.71235999999999999</c:v>
                </c:pt>
                <c:pt idx="95">
                  <c:v>0.72801000000000005</c:v>
                </c:pt>
                <c:pt idx="96">
                  <c:v>0.74377000000000004</c:v>
                </c:pt>
                <c:pt idx="97">
                  <c:v>0.75563999999999998</c:v>
                </c:pt>
                <c:pt idx="98">
                  <c:v>0.77075000000000005</c:v>
                </c:pt>
                <c:pt idx="99">
                  <c:v>0.78097000000000005</c:v>
                </c:pt>
                <c:pt idx="100">
                  <c:v>0.79113999999999995</c:v>
                </c:pt>
                <c:pt idx="101">
                  <c:v>1.0209999999999999</c:v>
                </c:pt>
                <c:pt idx="102">
                  <c:v>1.2434000000000001</c:v>
                </c:pt>
                <c:pt idx="103">
                  <c:v>1.6531</c:v>
                </c:pt>
                <c:pt idx="104">
                  <c:v>1.6981999999999999</c:v>
                </c:pt>
                <c:pt idx="105">
                  <c:v>1.7302999999999999</c:v>
                </c:pt>
                <c:pt idx="106">
                  <c:v>1.7572000000000001</c:v>
                </c:pt>
                <c:pt idx="107">
                  <c:v>1.621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2-4FC6-AF82-AF9038263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3" workbookViewId="0">
      <selection sqref="A1:M2"/>
    </sheetView>
  </sheetViews>
  <sheetFormatPr defaultRowHeight="14"/>
  <cols>
    <col min="1" max="1" width="14" customWidth="1"/>
    <col min="2" max="2" width="17" customWidth="1"/>
    <col min="3" max="3" width="24" customWidth="1"/>
    <col min="4" max="4" width="13" customWidth="1"/>
    <col min="5" max="5" width="15" customWidth="1"/>
    <col min="6" max="8" width="14" customWidth="1"/>
    <col min="9" max="9" width="44" customWidth="1"/>
    <col min="10" max="13" width="18" customWidth="1"/>
  </cols>
  <sheetData>
    <row r="1" spans="1:26" ht="16" customHeight="1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>
      <c r="A4" s="92" t="s">
        <v>1</v>
      </c>
      <c r="B4" s="92"/>
      <c r="C4" s="92"/>
      <c r="D4" s="92" t="s">
        <v>2</v>
      </c>
      <c r="E4" s="92"/>
      <c r="F4" s="92"/>
      <c r="G4" s="92" t="s">
        <v>3</v>
      </c>
      <c r="H4" s="92"/>
      <c r="I4" s="92"/>
      <c r="J4" s="92" t="s">
        <v>4</v>
      </c>
      <c r="K4" s="92"/>
      <c r="L4" s="92"/>
      <c r="M4" s="9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1.4" customHeight="1">
      <c r="A5" s="93" t="str">
        <f>"Run 6"&amp;CHAR(10)&amp;"Score / metric: "&amp;TEXT(Combined_Ranking!J9,"0.000")&amp;CHAR(10)&amp;"t = 1.75 mm; H = 5.25 mm
Best balanced / sensitivity design"</f>
        <v>Run 6
Score / metric: 0.962
t = 1.75 mm; H = 5.25 mm
Best balanced / sensitivity design</v>
      </c>
      <c r="B5" s="94"/>
      <c r="C5" s="95"/>
      <c r="D5" s="93" t="str">
        <f>"Run 5"&amp;CHAR(10)&amp;"Score / metric: "&amp;TEXT(Combined_Ranking!L8,"0.000")&amp;CHAR(10)&amp;"t = 1.75 mm; H = 3.50 mm
Highest durability-first score"</f>
        <v>Run 5
Score / metric: 0.954
t = 1.75 mm; H = 3.50 mm
Highest durability-first score</v>
      </c>
      <c r="E5" s="94"/>
      <c r="F5" s="95"/>
      <c r="G5" s="93" t="str">
        <f>"Run 4"&amp;CHAR(10)&amp;"Score / metric: "&amp;TEXT(FEA_Raw!N7,"0.000")&amp;CHAR(10)&amp;"0.52259 mJ
Highest solved strain energy"</f>
        <v>Run 4
Score / metric: 0.523
0.52259 mJ
Highest solved strain energy</v>
      </c>
      <c r="H5" s="94"/>
      <c r="I5" s="95"/>
      <c r="J5" s="102" t="s">
        <v>5</v>
      </c>
      <c r="K5" s="103"/>
      <c r="L5" s="103"/>
      <c r="M5" s="10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.4" customHeight="1">
      <c r="A6" s="96"/>
      <c r="B6" s="97"/>
      <c r="C6" s="98"/>
      <c r="D6" s="96"/>
      <c r="E6" s="97"/>
      <c r="F6" s="98"/>
      <c r="G6" s="96"/>
      <c r="H6" s="97"/>
      <c r="I6" s="98"/>
      <c r="J6" s="105"/>
      <c r="K6" s="106"/>
      <c r="L6" s="106"/>
      <c r="M6" s="10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.4" customHeight="1">
      <c r="A7" s="99"/>
      <c r="B7" s="100"/>
      <c r="C7" s="101"/>
      <c r="D7" s="99"/>
      <c r="E7" s="100"/>
      <c r="F7" s="101"/>
      <c r="G7" s="99"/>
      <c r="H7" s="100"/>
      <c r="I7" s="101"/>
      <c r="J7" s="108"/>
      <c r="K7" s="109"/>
      <c r="L7" s="109"/>
      <c r="M7" s="11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>
      <c r="A10" s="92" t="s">
        <v>6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649999999999999" customHeight="1">
      <c r="A11" s="111" t="s">
        <v>7</v>
      </c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649999999999999" customHeight="1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649999999999999" customHeight="1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649999999999999" customHeight="1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2" t="s">
        <v>8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14</v>
      </c>
      <c r="H17" s="2" t="s">
        <v>15</v>
      </c>
      <c r="I17" s="2" t="s">
        <v>16</v>
      </c>
      <c r="J17" s="92" t="s">
        <v>17</v>
      </c>
      <c r="K17" s="92"/>
      <c r="L17" s="92"/>
      <c r="M17" s="9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.4" customHeight="1">
      <c r="A18" s="4" t="str">
        <f>"1 — Primary"</f>
        <v>1 — Primary</v>
      </c>
      <c r="B18" s="5">
        <f>Combined_Ranking!A9</f>
        <v>6</v>
      </c>
      <c r="C18" s="6" t="str">
        <f>"t="&amp;TEXT(Combined_Ranking!B9,"0.000")&amp;" mm; H="&amp;TEXT(Combined_Ranking!C9,"0.000")&amp;" mm"</f>
        <v>t=1.750 mm; H=5.250 mm</v>
      </c>
      <c r="D18" s="7">
        <f>Derived_Metrics!E9</f>
        <v>0.38815</v>
      </c>
      <c r="E18" s="7">
        <f>Derived_Metrics!T9</f>
        <v>0.41044999999999998</v>
      </c>
      <c r="F18" s="7">
        <f>Derived_Metrics!U9</f>
        <v>0.24757999999999999</v>
      </c>
      <c r="G18" s="7">
        <f>Derived_Metrics!H9</f>
        <v>0.25617600000000001</v>
      </c>
      <c r="H18" s="7">
        <f>Combined_Ranking!J9</f>
        <v>0.96205682539682547</v>
      </c>
      <c r="I18" s="8" t="str">
        <f>Combined_Ranking!P9</f>
        <v>Best balanced and sensitivity-oriented preferred-wall design.</v>
      </c>
      <c r="J18" s="115" t="s">
        <v>18</v>
      </c>
      <c r="K18" s="116"/>
      <c r="L18" s="116"/>
      <c r="M18" s="11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.4" customHeight="1">
      <c r="A19" s="9" t="str">
        <f>"2 — Challenger"</f>
        <v>2 — Challenger</v>
      </c>
      <c r="B19" s="3">
        <f>Combined_Ranking!A8</f>
        <v>5</v>
      </c>
      <c r="C19" s="10" t="str">
        <f>"t="&amp;TEXT(Combined_Ranking!B8,"0.000")&amp;" mm; H="&amp;TEXT(Combined_Ranking!C8,"0.000")&amp;" mm"</f>
        <v>t=1.750 mm; H=3.500 mm</v>
      </c>
      <c r="D19" s="11">
        <f>Derived_Metrics!E8</f>
        <v>0.52946000000000004</v>
      </c>
      <c r="E19" s="11">
        <f>Derived_Metrics!T8</f>
        <v>0.39424999999999999</v>
      </c>
      <c r="F19" s="11">
        <f>Derived_Metrics!U8</f>
        <v>0.31363999999999997</v>
      </c>
      <c r="G19" s="11">
        <f>Derived_Metrics!H8</f>
        <v>0.2803554650798622</v>
      </c>
      <c r="H19" s="11">
        <f>Combined_Ranking!J8</f>
        <v>0.93605792170816726</v>
      </c>
      <c r="I19" s="12" t="str">
        <f>Combined_Ranking!P8</f>
        <v>Best durability-oriented preferred-wall design; fabricate alongside Run 6.</v>
      </c>
      <c r="J19" s="115" t="s">
        <v>19</v>
      </c>
      <c r="K19" s="116"/>
      <c r="L19" s="116"/>
      <c r="M19" s="11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.4" customHeight="1">
      <c r="A20" s="9" t="str">
        <f>"3 — Control"</f>
        <v>3 — Control</v>
      </c>
      <c r="B20" s="3">
        <f>Combined_Ranking!A7</f>
        <v>4</v>
      </c>
      <c r="C20" s="10" t="str">
        <f>"t="&amp;TEXT(Combined_Ranking!B7,"0.000")&amp;" mm; H="&amp;TEXT(Combined_Ranking!C7,"0.000")&amp;" mm"</f>
        <v>t=1.750 mm; H=1.750 mm</v>
      </c>
      <c r="D20" s="11">
        <f>Derived_Metrics!E7</f>
        <v>1.1660999999999999</v>
      </c>
      <c r="E20" s="11">
        <f>Derived_Metrics!T7</f>
        <v>0.54173000000000004</v>
      </c>
      <c r="F20" s="11">
        <f>Derived_Metrics!U7</f>
        <v>0.52259</v>
      </c>
      <c r="G20" s="11">
        <f>Derived_Metrics!H7</f>
        <v>0.36111768884679141</v>
      </c>
      <c r="H20" s="11">
        <f>Combined_Ranking!J7</f>
        <v>0.69257997477174327</v>
      </c>
      <c r="I20" s="12" t="str">
        <f>Combined_Ranking!P7</f>
        <v>Use as the durability and strong-activation control.</v>
      </c>
      <c r="J20" s="115" t="s">
        <v>20</v>
      </c>
      <c r="K20" s="116"/>
      <c r="L20" s="116"/>
      <c r="M20" s="11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.4" customHeight="1">
      <c r="A21" s="9" t="str">
        <f>"4 — Control"</f>
        <v>4 — Control</v>
      </c>
      <c r="B21" s="3">
        <f>Combined_Ranking!A12</f>
        <v>9</v>
      </c>
      <c r="C21" s="10" t="str">
        <f>"t="&amp;TEXT(Combined_Ranking!B12,"0.000")&amp;" mm; H="&amp;TEXT(Combined_Ranking!C12,"0.000")&amp;" mm"</f>
        <v>t=2.625 mm; H=5.250 mm</v>
      </c>
      <c r="D21" s="11">
        <f>Derived_Metrics!E12</f>
        <v>0.58160999999999996</v>
      </c>
      <c r="E21" s="11">
        <f>Derived_Metrics!T12</f>
        <v>0.44392999999999999</v>
      </c>
      <c r="F21" s="11">
        <f>Derived_Metrics!U12</f>
        <v>0.32715</v>
      </c>
      <c r="G21" s="11">
        <f>Derived_Metrics!H12</f>
        <v>0.21947649655386048</v>
      </c>
      <c r="H21" s="11">
        <f>Combined_Ranking!J12</f>
        <v>0.86219467931430338</v>
      </c>
      <c r="I21" s="12" t="str">
        <f>Combined_Ranking!P12</f>
        <v>Useful to test whether the hollow mechanism adds value.</v>
      </c>
      <c r="J21" s="115" t="s">
        <v>21</v>
      </c>
      <c r="K21" s="116"/>
      <c r="L21" s="116"/>
      <c r="M21" s="11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.4" customHeight="1">
      <c r="A22" s="13" t="str">
        <f>"Rejected"</f>
        <v>Rejected</v>
      </c>
      <c r="B22" s="14">
        <f>Combined_Ranking!A10</f>
        <v>7</v>
      </c>
      <c r="C22" s="15" t="str">
        <f>"t="&amp;TEXT(Combined_Ranking!B10,"0.000")&amp;" mm; H="&amp;TEXT(Combined_Ranking!C10,"0.000")&amp;" mm"</f>
        <v>t=2.625 mm; H=1.750 mm</v>
      </c>
      <c r="D22" s="16" t="s">
        <v>22</v>
      </c>
      <c r="E22" s="16" t="s">
        <v>22</v>
      </c>
      <c r="F22" s="16" t="s">
        <v>22</v>
      </c>
      <c r="G22" s="16" t="s">
        <v>22</v>
      </c>
      <c r="H22" s="16">
        <v>0</v>
      </c>
      <c r="I22" s="17" t="str">
        <f>Combined_Ranking!P10</f>
        <v>Reject from the primary design set; retain failed solution only as diagnostic evidence.</v>
      </c>
      <c r="J22" s="115" t="s">
        <v>23</v>
      </c>
      <c r="K22" s="116"/>
      <c r="L22" s="116"/>
      <c r="M22" s="11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.4" customHeight="1">
      <c r="A23" s="3"/>
      <c r="B23" s="3"/>
      <c r="C23" s="3"/>
      <c r="D23" s="3"/>
      <c r="E23" s="3"/>
      <c r="F23" s="3"/>
      <c r="G23" s="3"/>
      <c r="H23" s="3"/>
      <c r="I23" s="3"/>
      <c r="J23" s="118" t="s">
        <v>24</v>
      </c>
      <c r="K23" s="119"/>
      <c r="L23" s="119"/>
      <c r="M23" s="120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92" t="s">
        <v>25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649999999999999" customHeight="1">
      <c r="A26" s="18" t="s">
        <v>26</v>
      </c>
      <c r="B26" s="112" t="s">
        <v>27</v>
      </c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649999999999999" customHeight="1">
      <c r="A27" s="19" t="s">
        <v>28</v>
      </c>
      <c r="B27" s="112" t="s">
        <v>29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649999999999999" customHeight="1">
      <c r="A28" s="19" t="s">
        <v>30</v>
      </c>
      <c r="B28" s="112" t="s">
        <v>31</v>
      </c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649999999999999" customHeight="1">
      <c r="A29" s="20" t="s">
        <v>32</v>
      </c>
      <c r="B29" s="112" t="s">
        <v>33</v>
      </c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3">
    <mergeCell ref="B28:M28"/>
    <mergeCell ref="B29:M29"/>
    <mergeCell ref="J17:M17"/>
    <mergeCell ref="J18:M18"/>
    <mergeCell ref="J19:M19"/>
    <mergeCell ref="J20:M20"/>
    <mergeCell ref="J21:M21"/>
    <mergeCell ref="J22:M22"/>
    <mergeCell ref="J23:M23"/>
    <mergeCell ref="A10:M10"/>
    <mergeCell ref="A11:M14"/>
    <mergeCell ref="A25:M25"/>
    <mergeCell ref="B26:M26"/>
    <mergeCell ref="B27:M27"/>
    <mergeCell ref="A1:M2"/>
    <mergeCell ref="A4:C4"/>
    <mergeCell ref="A5:C7"/>
    <mergeCell ref="D4:F4"/>
    <mergeCell ref="D5:F7"/>
    <mergeCell ref="G4:I4"/>
    <mergeCell ref="G5:I7"/>
    <mergeCell ref="J4:M4"/>
    <mergeCell ref="J5: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"/>
  <cols>
    <col min="1" max="1" width="34" customWidth="1"/>
    <col min="2" max="2" width="14" customWidth="1"/>
    <col min="4" max="4" width="33" customWidth="1"/>
    <col min="5" max="5" width="18" customWidth="1"/>
    <col min="6" max="6" width="22" customWidth="1"/>
    <col min="8" max="8" width="22" customWidth="1"/>
    <col min="9" max="9" width="20" customWidth="1"/>
    <col min="11" max="11" width="29" customWidth="1"/>
    <col min="12" max="12" width="14" customWidth="1"/>
    <col min="13" max="13" width="22" customWidth="1"/>
  </cols>
  <sheetData>
    <row r="1" spans="1:26" ht="16" customHeight="1">
      <c r="A1" s="91" t="s">
        <v>34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>
      <c r="A3" s="3"/>
      <c r="B3" s="3"/>
      <c r="C3" s="3"/>
      <c r="D3" s="3"/>
      <c r="E3" s="3"/>
      <c r="F3" s="3"/>
      <c r="G3" s="3"/>
      <c r="H3" s="3"/>
      <c r="I3" s="3"/>
      <c r="J3" s="3"/>
      <c r="K3" s="92" t="s">
        <v>35</v>
      </c>
      <c r="L3" s="92"/>
      <c r="M3" s="9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>
      <c r="A4" s="92" t="s">
        <v>36</v>
      </c>
      <c r="B4" s="92"/>
      <c r="C4" s="3"/>
      <c r="D4" s="92" t="s">
        <v>37</v>
      </c>
      <c r="E4" s="92"/>
      <c r="F4" s="92"/>
      <c r="G4" s="3"/>
      <c r="H4" s="92" t="s">
        <v>38</v>
      </c>
      <c r="I4" s="92"/>
      <c r="J4" s="3"/>
      <c r="K4" s="23" t="s">
        <v>39</v>
      </c>
      <c r="L4" s="24">
        <v>0.15</v>
      </c>
      <c r="M4" s="25" t="s">
        <v>40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>
      <c r="A5" s="23" t="s">
        <v>41</v>
      </c>
      <c r="B5" s="26">
        <v>7</v>
      </c>
      <c r="C5" s="3"/>
      <c r="D5" s="23" t="s">
        <v>42</v>
      </c>
      <c r="E5" s="27">
        <v>4.7300000000000002E-2</v>
      </c>
      <c r="F5" s="25" t="s">
        <v>43</v>
      </c>
      <c r="G5" s="3"/>
      <c r="H5" s="21" t="s">
        <v>44</v>
      </c>
      <c r="I5" s="22" t="s">
        <v>45</v>
      </c>
      <c r="J5" s="3"/>
      <c r="K5" s="28" t="s">
        <v>46</v>
      </c>
      <c r="L5" s="29">
        <v>0.35</v>
      </c>
      <c r="M5" s="30" t="s">
        <v>40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>
      <c r="A6" s="28" t="s">
        <v>47</v>
      </c>
      <c r="B6" s="31">
        <v>1.75</v>
      </c>
      <c r="C6" s="3"/>
      <c r="D6" s="28" t="s">
        <v>48</v>
      </c>
      <c r="E6" s="32">
        <v>0.42399999999999999</v>
      </c>
      <c r="F6" s="30" t="s">
        <v>43</v>
      </c>
      <c r="G6" s="3"/>
      <c r="H6" s="33">
        <v>0.875</v>
      </c>
      <c r="I6" s="31">
        <v>1.75</v>
      </c>
      <c r="J6" s="3"/>
      <c r="K6" s="28" t="s">
        <v>49</v>
      </c>
      <c r="L6" s="29">
        <v>0.55000000000000004</v>
      </c>
      <c r="M6" s="30" t="s">
        <v>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>
      <c r="A7" s="28" t="s">
        <v>50</v>
      </c>
      <c r="B7" s="31">
        <v>1.25</v>
      </c>
      <c r="C7" s="3"/>
      <c r="D7" s="28" t="s">
        <v>51</v>
      </c>
      <c r="E7" s="32">
        <f>2/E6</f>
        <v>4.716981132075472</v>
      </c>
      <c r="F7" s="30" t="s">
        <v>52</v>
      </c>
      <c r="G7" s="3"/>
      <c r="H7" s="33">
        <v>1.75</v>
      </c>
      <c r="I7" s="31">
        <v>3.5</v>
      </c>
      <c r="J7" s="3"/>
      <c r="K7" s="28" t="s">
        <v>53</v>
      </c>
      <c r="L7" s="29">
        <v>1</v>
      </c>
      <c r="M7" s="30" t="s">
        <v>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>
      <c r="A8" s="28" t="s">
        <v>54</v>
      </c>
      <c r="B8" s="31">
        <v>3</v>
      </c>
      <c r="C8" s="3"/>
      <c r="D8" s="28" t="s">
        <v>55</v>
      </c>
      <c r="E8" s="32">
        <f>9*E7*E5/(3*E7+E5)</f>
        <v>0.14142727462033902</v>
      </c>
      <c r="F8" s="30" t="s">
        <v>56</v>
      </c>
      <c r="G8" s="3"/>
      <c r="H8" s="34">
        <v>2.625</v>
      </c>
      <c r="I8" s="35">
        <v>5.25</v>
      </c>
      <c r="J8" s="3"/>
      <c r="K8" s="28" t="s">
        <v>57</v>
      </c>
      <c r="L8" s="29">
        <v>0.05</v>
      </c>
      <c r="M8" s="30" t="s">
        <v>40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>
      <c r="A9" s="28" t="s">
        <v>58</v>
      </c>
      <c r="B9" s="31">
        <v>3</v>
      </c>
      <c r="C9" s="3"/>
      <c r="D9" s="28" t="s">
        <v>59</v>
      </c>
      <c r="E9" s="32">
        <f>(3*E7-2*E5)/(2*(3*E7+E5))</f>
        <v>0.4950029029634147</v>
      </c>
      <c r="F9" s="30" t="s">
        <v>60</v>
      </c>
      <c r="G9" s="3"/>
      <c r="H9" s="3"/>
      <c r="I9" s="3"/>
      <c r="J9" s="3"/>
      <c r="K9" s="28" t="s">
        <v>61</v>
      </c>
      <c r="L9" s="29">
        <v>0.2</v>
      </c>
      <c r="M9" s="30" t="s">
        <v>40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>
      <c r="A10" s="28" t="s">
        <v>62</v>
      </c>
      <c r="B10" s="31">
        <v>30</v>
      </c>
      <c r="C10" s="3"/>
      <c r="D10" s="28" t="s">
        <v>63</v>
      </c>
      <c r="E10" s="3" t="s">
        <v>64</v>
      </c>
      <c r="F10" s="30" t="s">
        <v>65</v>
      </c>
      <c r="G10" s="3"/>
      <c r="H10" s="3"/>
      <c r="I10" s="3"/>
      <c r="J10" s="3"/>
      <c r="K10" s="28" t="s">
        <v>66</v>
      </c>
      <c r="L10" s="29">
        <v>0.4</v>
      </c>
      <c r="M10" s="30" t="s">
        <v>40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>
      <c r="A11" s="28" t="s">
        <v>67</v>
      </c>
      <c r="B11" s="31">
        <v>30</v>
      </c>
      <c r="C11" s="3"/>
      <c r="D11" s="36" t="s">
        <v>68</v>
      </c>
      <c r="E11" s="37" t="s">
        <v>69</v>
      </c>
      <c r="F11" s="38" t="s">
        <v>70</v>
      </c>
      <c r="G11" s="3"/>
      <c r="H11" s="3"/>
      <c r="I11" s="3"/>
      <c r="J11" s="3"/>
      <c r="K11" s="28" t="s">
        <v>71</v>
      </c>
      <c r="L11" s="29">
        <v>0.7</v>
      </c>
      <c r="M11" s="30" t="s">
        <v>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>
      <c r="A12" s="28" t="s">
        <v>72</v>
      </c>
      <c r="B12" s="31">
        <v>4</v>
      </c>
      <c r="C12" s="3"/>
      <c r="D12" s="3"/>
      <c r="E12" s="3"/>
      <c r="F12" s="3"/>
      <c r="G12" s="3"/>
      <c r="H12" s="3"/>
      <c r="I12" s="3"/>
      <c r="J12" s="3"/>
      <c r="K12" s="28" t="s">
        <v>73</v>
      </c>
      <c r="L12" s="29">
        <v>1.5</v>
      </c>
      <c r="M12" s="30" t="s">
        <v>74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28" t="s">
        <v>75</v>
      </c>
      <c r="B13" s="31">
        <f>B8*B9</f>
        <v>9</v>
      </c>
      <c r="C13" s="3"/>
      <c r="D13" s="3"/>
      <c r="E13" s="3"/>
      <c r="F13" s="3"/>
      <c r="G13" s="3"/>
      <c r="H13" s="3"/>
      <c r="I13" s="3"/>
      <c r="J13" s="3"/>
      <c r="K13" s="28" t="s">
        <v>76</v>
      </c>
      <c r="L13" s="29">
        <v>3.5</v>
      </c>
      <c r="M13" s="30" t="s">
        <v>74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28" t="s">
        <v>77</v>
      </c>
      <c r="B14" s="31">
        <v>9</v>
      </c>
      <c r="C14" s="3"/>
      <c r="D14" s="3"/>
      <c r="E14" s="3"/>
      <c r="F14" s="3"/>
      <c r="G14" s="3"/>
      <c r="H14" s="3"/>
      <c r="I14" s="3"/>
      <c r="J14" s="3"/>
      <c r="K14" s="28" t="s">
        <v>78</v>
      </c>
      <c r="L14" s="29">
        <v>0.08</v>
      </c>
      <c r="M14" s="30" t="s">
        <v>79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6" t="s">
        <v>80</v>
      </c>
      <c r="B15" s="35">
        <v>2</v>
      </c>
      <c r="C15" s="3"/>
      <c r="D15" s="3"/>
      <c r="E15" s="3"/>
      <c r="F15" s="3"/>
      <c r="G15" s="3"/>
      <c r="H15" s="3"/>
      <c r="I15" s="3"/>
      <c r="J15" s="3"/>
      <c r="K15" s="28" t="s">
        <v>81</v>
      </c>
      <c r="L15" s="29">
        <v>0.2</v>
      </c>
      <c r="M15" s="30" t="s">
        <v>79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 t="s">
        <v>82</v>
      </c>
      <c r="B16" s="29">
        <v>2.5</v>
      </c>
      <c r="C16" s="3"/>
      <c r="D16" s="3"/>
      <c r="E16" s="3"/>
      <c r="F16" s="3"/>
      <c r="G16" s="3"/>
      <c r="H16" s="3"/>
      <c r="I16" s="3"/>
      <c r="J16" s="3"/>
      <c r="K16" s="28" t="s">
        <v>83</v>
      </c>
      <c r="L16" s="29">
        <v>0.5</v>
      </c>
      <c r="M16" s="30" t="s">
        <v>79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28" t="s">
        <v>84</v>
      </c>
      <c r="L17" s="29">
        <v>1.2</v>
      </c>
      <c r="M17" s="30" t="s">
        <v>79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92" t="s">
        <v>85</v>
      </c>
      <c r="B18" s="92"/>
      <c r="C18" s="92"/>
      <c r="D18" s="92"/>
      <c r="E18" s="92"/>
      <c r="F18" s="92"/>
      <c r="G18" s="92"/>
      <c r="H18" s="92"/>
      <c r="I18" s="92"/>
      <c r="J18" s="3"/>
      <c r="K18" s="28" t="s">
        <v>86</v>
      </c>
      <c r="L18" s="29">
        <v>3</v>
      </c>
      <c r="M18" s="30" t="s">
        <v>74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649999999999999" customHeight="1">
      <c r="A19" s="121" t="s">
        <v>87</v>
      </c>
      <c r="B19" s="121"/>
      <c r="C19" s="121"/>
      <c r="D19" s="121"/>
      <c r="E19" s="121"/>
      <c r="F19" s="121"/>
      <c r="G19" s="121"/>
      <c r="H19" s="121"/>
      <c r="I19" s="121"/>
      <c r="J19" s="3"/>
      <c r="K19" s="28" t="s">
        <v>88</v>
      </c>
      <c r="L19" s="29">
        <v>8</v>
      </c>
      <c r="M19" s="30" t="s">
        <v>74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649999999999999" customHeight="1">
      <c r="A20" s="121"/>
      <c r="B20" s="121"/>
      <c r="C20" s="121"/>
      <c r="D20" s="121"/>
      <c r="E20" s="121"/>
      <c r="F20" s="121"/>
      <c r="G20" s="121"/>
      <c r="H20" s="121"/>
      <c r="I20" s="121"/>
      <c r="J20" s="3"/>
      <c r="K20" s="28" t="s">
        <v>89</v>
      </c>
      <c r="L20" s="29">
        <v>0.24</v>
      </c>
      <c r="M20" s="30" t="s">
        <v>90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649999999999999" customHeight="1">
      <c r="A21" s="121"/>
      <c r="B21" s="121"/>
      <c r="C21" s="121"/>
      <c r="D21" s="121"/>
      <c r="E21" s="121"/>
      <c r="F21" s="121"/>
      <c r="G21" s="121"/>
      <c r="H21" s="121"/>
      <c r="I21" s="121"/>
      <c r="J21" s="3"/>
      <c r="K21" s="28" t="s">
        <v>91</v>
      </c>
      <c r="L21" s="29">
        <v>0.38</v>
      </c>
      <c r="M21" s="30" t="s">
        <v>90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649999999999999" customHeight="1">
      <c r="A22" s="121"/>
      <c r="B22" s="121"/>
      <c r="C22" s="121"/>
      <c r="D22" s="121"/>
      <c r="E22" s="121"/>
      <c r="F22" s="121"/>
      <c r="G22" s="121"/>
      <c r="H22" s="121"/>
      <c r="I22" s="121"/>
      <c r="J22" s="3"/>
      <c r="K22" s="28" t="s">
        <v>92</v>
      </c>
      <c r="L22" s="29">
        <v>0.55000000000000004</v>
      </c>
      <c r="M22" s="30" t="s">
        <v>90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28" t="s">
        <v>93</v>
      </c>
      <c r="L23" s="29">
        <v>1</v>
      </c>
      <c r="M23" s="30" t="s">
        <v>90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28" t="s">
        <v>94</v>
      </c>
      <c r="L24" s="29">
        <v>3</v>
      </c>
      <c r="M24" s="30" t="s">
        <v>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28" t="s">
        <v>95</v>
      </c>
      <c r="L25" s="29">
        <v>6</v>
      </c>
      <c r="M25" s="30" t="s">
        <v>90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28" t="s">
        <v>96</v>
      </c>
      <c r="L26" s="29">
        <v>0.05</v>
      </c>
      <c r="M26" s="30" t="s">
        <v>97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28" t="s">
        <v>98</v>
      </c>
      <c r="L27" s="29">
        <v>0.18</v>
      </c>
      <c r="M27" s="30" t="s">
        <v>97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28" t="s">
        <v>99</v>
      </c>
      <c r="L28" s="29">
        <v>0.33</v>
      </c>
      <c r="M28" s="30" t="s">
        <v>97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28" t="s">
        <v>100</v>
      </c>
      <c r="L29" s="29">
        <v>0.6</v>
      </c>
      <c r="M29" s="30" t="s">
        <v>97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28" t="s">
        <v>101</v>
      </c>
      <c r="L30" s="29">
        <v>1</v>
      </c>
      <c r="M30" s="30" t="s">
        <v>102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6" t="s">
        <v>103</v>
      </c>
      <c r="L31" s="39">
        <v>3.5</v>
      </c>
      <c r="M31" s="38" t="s">
        <v>102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7">
    <mergeCell ref="A18:I18"/>
    <mergeCell ref="A19:I22"/>
    <mergeCell ref="A1:M2"/>
    <mergeCell ref="A4:B4"/>
    <mergeCell ref="D4:F4"/>
    <mergeCell ref="H4:I4"/>
    <mergeCell ref="K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3" sqref="A3"/>
    </sheetView>
  </sheetViews>
  <sheetFormatPr defaultRowHeight="14"/>
  <cols>
    <col min="1" max="1" width="8" customWidth="1"/>
    <col min="2" max="3" width="13" customWidth="1"/>
    <col min="4" max="5" width="17" customWidth="1"/>
    <col min="6" max="6" width="18" customWidth="1"/>
    <col min="7" max="9" width="17" customWidth="1"/>
    <col min="10" max="10" width="10" customWidth="1"/>
    <col min="11" max="11" width="11" customWidth="1"/>
    <col min="12" max="12" width="12" customWidth="1"/>
    <col min="13" max="13" width="17" customWidth="1"/>
    <col min="14" max="15" width="18" customWidth="1"/>
    <col min="16" max="16" width="17" customWidth="1"/>
    <col min="17" max="17" width="18" customWidth="1"/>
    <col min="18" max="18" width="21" customWidth="1"/>
    <col min="19" max="19" width="16" customWidth="1"/>
  </cols>
  <sheetData>
    <row r="1" spans="1:26" ht="16" customHeight="1">
      <c r="A1" s="91" t="s">
        <v>104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3"/>
      <c r="U2" s="3"/>
      <c r="V2" s="3"/>
      <c r="W2" s="3"/>
      <c r="X2" s="3"/>
      <c r="Y2" s="3"/>
      <c r="Z2" s="3"/>
    </row>
    <row r="3" spans="1:26" ht="29">
      <c r="A3" s="2" t="s">
        <v>9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116</v>
      </c>
      <c r="N3" s="2" t="s">
        <v>117</v>
      </c>
      <c r="O3" s="2" t="s">
        <v>118</v>
      </c>
      <c r="P3" s="2" t="s">
        <v>119</v>
      </c>
      <c r="Q3" s="2" t="s">
        <v>120</v>
      </c>
      <c r="R3" s="2" t="s">
        <v>121</v>
      </c>
      <c r="S3" s="2" t="s">
        <v>122</v>
      </c>
      <c r="T3" s="3"/>
      <c r="U3" s="3"/>
      <c r="V3" s="3"/>
      <c r="W3" s="3"/>
      <c r="X3" s="3"/>
      <c r="Y3" s="3"/>
      <c r="Z3" s="3"/>
    </row>
    <row r="4" spans="1:26" ht="14.5">
      <c r="A4" s="4">
        <v>1</v>
      </c>
      <c r="B4" s="24">
        <v>0.875</v>
      </c>
      <c r="C4" s="24">
        <v>1.75</v>
      </c>
      <c r="D4" s="24">
        <f>Inputs_Theory!$B$5-2*B4</f>
        <v>5.25</v>
      </c>
      <c r="E4" s="40">
        <f>PI()/4*(Inputs_Theory!$B$5^2-D4^2)</f>
        <v>16.836973127832799</v>
      </c>
      <c r="F4" s="40">
        <f>PI()/64*(Inputs_Theory!$B$5^4-D4^4)</f>
        <v>80.567547193731158</v>
      </c>
      <c r="G4" s="40">
        <f t="shared" ref="G4:G12" si="0">2*F4</f>
        <v>161.13509438746232</v>
      </c>
      <c r="H4" s="40">
        <f t="shared" ref="H4:H12" si="1">SQRT(F4/E4)</f>
        <v>2.1875</v>
      </c>
      <c r="I4" s="41">
        <f>(D4/Inputs_Theory!$B$5)^2</f>
        <v>0.5625</v>
      </c>
      <c r="J4" s="24">
        <f t="shared" ref="J4:J12" si="2">C4/B4</f>
        <v>2</v>
      </c>
      <c r="K4" s="24">
        <f t="shared" ref="K4:K12" si="3">C4/H4</f>
        <v>0.8</v>
      </c>
      <c r="L4" s="24">
        <f>Inputs_Theory!$B$7/C4</f>
        <v>0.7142857142857143</v>
      </c>
      <c r="M4" s="40">
        <f>Inputs_Theory!$E$8*E4/C4</f>
        <v>1.3606898413287301</v>
      </c>
      <c r="N4" s="40">
        <f t="shared" ref="N4:N12" si="4">1/M4</f>
        <v>0.73492133888755129</v>
      </c>
      <c r="O4" s="40">
        <f>3*Inputs_Theory!$E$8*F4/C4^3</f>
        <v>6.3782336312284231</v>
      </c>
      <c r="P4" s="40">
        <f>PI()^2*Inputs_Theory!$E$8*F4/(2*C4)^2</f>
        <v>9.1803020630341106</v>
      </c>
      <c r="Q4" s="24">
        <v>27.004999999999999</v>
      </c>
      <c r="R4" s="24">
        <f t="shared" ref="R4:R12" si="5">E4*C4</f>
        <v>29.464702973707396</v>
      </c>
      <c r="S4" s="26">
        <f t="shared" ref="S4:S12" si="6">Q4/R4</f>
        <v>0.91652035400111465</v>
      </c>
      <c r="T4" s="3"/>
      <c r="U4" s="3"/>
      <c r="V4" s="3"/>
      <c r="W4" s="3"/>
      <c r="X4" s="3"/>
      <c r="Y4" s="3"/>
      <c r="Z4" s="3"/>
    </row>
    <row r="5" spans="1:26" ht="14.5">
      <c r="A5" s="9">
        <v>2</v>
      </c>
      <c r="B5" s="29">
        <v>0.875</v>
      </c>
      <c r="C5" s="29">
        <v>3.5</v>
      </c>
      <c r="D5" s="29">
        <f>Inputs_Theory!$B$5-2*B5</f>
        <v>5.25</v>
      </c>
      <c r="E5" s="42">
        <f>PI()/4*(Inputs_Theory!$B$5^2-D5^2)</f>
        <v>16.836973127832799</v>
      </c>
      <c r="F5" s="42">
        <f>PI()/64*(Inputs_Theory!$B$5^4-D5^4)</f>
        <v>80.567547193731158</v>
      </c>
      <c r="G5" s="42">
        <f t="shared" si="0"/>
        <v>161.13509438746232</v>
      </c>
      <c r="H5" s="42">
        <f t="shared" si="1"/>
        <v>2.1875</v>
      </c>
      <c r="I5" s="43">
        <f>(D5/Inputs_Theory!$B$5)^2</f>
        <v>0.5625</v>
      </c>
      <c r="J5" s="29">
        <f t="shared" si="2"/>
        <v>4</v>
      </c>
      <c r="K5" s="29">
        <f t="shared" si="3"/>
        <v>1.6</v>
      </c>
      <c r="L5" s="29">
        <f>Inputs_Theory!$B$7/C5</f>
        <v>0.35714285714285715</v>
      </c>
      <c r="M5" s="42">
        <f>Inputs_Theory!$E$8*E5/C5</f>
        <v>0.68034492066436503</v>
      </c>
      <c r="N5" s="42">
        <f t="shared" si="4"/>
        <v>1.4698426777751026</v>
      </c>
      <c r="O5" s="42">
        <f>3*Inputs_Theory!$E$8*F5/C5^3</f>
        <v>0.79727920390355289</v>
      </c>
      <c r="P5" s="42">
        <f>PI()^2*Inputs_Theory!$E$8*F5/(2*C5)^2</f>
        <v>2.2950755157585276</v>
      </c>
      <c r="Q5" s="29">
        <v>59.988</v>
      </c>
      <c r="R5" s="29">
        <f t="shared" si="5"/>
        <v>58.929405947414793</v>
      </c>
      <c r="S5" s="31">
        <f t="shared" si="6"/>
        <v>1.017963765891851</v>
      </c>
      <c r="T5" s="3"/>
      <c r="U5" s="3"/>
      <c r="V5" s="3"/>
      <c r="W5" s="3"/>
      <c r="X5" s="3"/>
      <c r="Y5" s="3"/>
      <c r="Z5" s="3"/>
    </row>
    <row r="6" spans="1:26" ht="14.5">
      <c r="A6" s="9">
        <v>3</v>
      </c>
      <c r="B6" s="29">
        <v>0.875</v>
      </c>
      <c r="C6" s="29">
        <v>5.25</v>
      </c>
      <c r="D6" s="29">
        <f>Inputs_Theory!$B$5-2*B6</f>
        <v>5.25</v>
      </c>
      <c r="E6" s="42">
        <f>PI()/4*(Inputs_Theory!$B$5^2-D6^2)</f>
        <v>16.836973127832799</v>
      </c>
      <c r="F6" s="42">
        <f>PI()/64*(Inputs_Theory!$B$5^4-D6^4)</f>
        <v>80.567547193731158</v>
      </c>
      <c r="G6" s="42">
        <f t="shared" si="0"/>
        <v>161.13509438746232</v>
      </c>
      <c r="H6" s="42">
        <f t="shared" si="1"/>
        <v>2.1875</v>
      </c>
      <c r="I6" s="43">
        <f>(D6/Inputs_Theory!$B$5)^2</f>
        <v>0.5625</v>
      </c>
      <c r="J6" s="29">
        <f t="shared" si="2"/>
        <v>6</v>
      </c>
      <c r="K6" s="29">
        <f t="shared" si="3"/>
        <v>2.4</v>
      </c>
      <c r="L6" s="29">
        <f>Inputs_Theory!$B$7/C6</f>
        <v>0.23809523809523808</v>
      </c>
      <c r="M6" s="42">
        <f>Inputs_Theory!$E$8*E6/C6</f>
        <v>0.45356328044291</v>
      </c>
      <c r="N6" s="42">
        <f t="shared" si="4"/>
        <v>2.2047640166626539</v>
      </c>
      <c r="O6" s="42">
        <f>3*Inputs_Theory!$E$8*F6/C6^3</f>
        <v>0.23623087523068231</v>
      </c>
      <c r="P6" s="42">
        <f>PI()^2*Inputs_Theory!$E$8*F6/(2*C6)^2</f>
        <v>1.0200335625593457</v>
      </c>
      <c r="Q6" s="29">
        <v>92.230999999999995</v>
      </c>
      <c r="R6" s="29">
        <f t="shared" si="5"/>
        <v>88.394108921122196</v>
      </c>
      <c r="S6" s="31">
        <f t="shared" si="6"/>
        <v>1.0434066379050397</v>
      </c>
      <c r="T6" s="3"/>
      <c r="U6" s="3"/>
      <c r="V6" s="3"/>
      <c r="W6" s="3"/>
      <c r="X6" s="3"/>
      <c r="Y6" s="3"/>
      <c r="Z6" s="3"/>
    </row>
    <row r="7" spans="1:26" ht="14.5">
      <c r="A7" s="9">
        <v>4</v>
      </c>
      <c r="B7" s="29">
        <v>1.75</v>
      </c>
      <c r="C7" s="29">
        <v>1.75</v>
      </c>
      <c r="D7" s="29">
        <f>Inputs_Theory!$B$5-2*B7</f>
        <v>3.5</v>
      </c>
      <c r="E7" s="42">
        <f>PI()/4*(Inputs_Theory!$B$5^2-D7^2)</f>
        <v>28.863382504856226</v>
      </c>
      <c r="F7" s="42">
        <f>PI()/64*(Inputs_Theory!$B$5^4-D7^4)</f>
        <v>110.49263615140273</v>
      </c>
      <c r="G7" s="42">
        <f t="shared" si="0"/>
        <v>220.98527230280547</v>
      </c>
      <c r="H7" s="42">
        <f t="shared" si="1"/>
        <v>1.9565594803123161</v>
      </c>
      <c r="I7" s="43">
        <f>(D7/Inputs_Theory!$B$5)^2</f>
        <v>0.25</v>
      </c>
      <c r="J7" s="29">
        <f t="shared" si="2"/>
        <v>1</v>
      </c>
      <c r="K7" s="29">
        <f t="shared" si="3"/>
        <v>0.89442719099991586</v>
      </c>
      <c r="L7" s="29">
        <f>Inputs_Theory!$B$7/C7</f>
        <v>0.7142857142857143</v>
      </c>
      <c r="M7" s="42">
        <f>Inputs_Theory!$E$8*E7/C7</f>
        <v>2.3326111565635372</v>
      </c>
      <c r="N7" s="42">
        <f t="shared" si="4"/>
        <v>0.42870411435107159</v>
      </c>
      <c r="O7" s="42">
        <f>3*Inputs_Theory!$E$8*F7/C7^3</f>
        <v>8.7472918371132646</v>
      </c>
      <c r="P7" s="42">
        <f>PI()^2*Inputs_Theory!$E$8*F7/(2*C7)^2</f>
        <v>12.590128543589639</v>
      </c>
      <c r="Q7" s="29">
        <v>34.546999999999997</v>
      </c>
      <c r="R7" s="29">
        <f t="shared" si="5"/>
        <v>50.510919383498397</v>
      </c>
      <c r="S7" s="31">
        <f t="shared" si="6"/>
        <v>0.68395112228518029</v>
      </c>
      <c r="T7" s="3"/>
      <c r="U7" s="3"/>
      <c r="V7" s="3"/>
      <c r="W7" s="3"/>
      <c r="X7" s="3"/>
      <c r="Y7" s="3"/>
      <c r="Z7" s="3"/>
    </row>
    <row r="8" spans="1:26" ht="14.5">
      <c r="A8" s="9">
        <v>5</v>
      </c>
      <c r="B8" s="29">
        <v>1.75</v>
      </c>
      <c r="C8" s="29">
        <v>3.5</v>
      </c>
      <c r="D8" s="29">
        <f>Inputs_Theory!$B$5-2*B8</f>
        <v>3.5</v>
      </c>
      <c r="E8" s="42">
        <f>PI()/4*(Inputs_Theory!$B$5^2-D8^2)</f>
        <v>28.863382504856226</v>
      </c>
      <c r="F8" s="42">
        <f>PI()/64*(Inputs_Theory!$B$5^4-D8^4)</f>
        <v>110.49263615140273</v>
      </c>
      <c r="G8" s="42">
        <f t="shared" si="0"/>
        <v>220.98527230280547</v>
      </c>
      <c r="H8" s="42">
        <f t="shared" si="1"/>
        <v>1.9565594803123161</v>
      </c>
      <c r="I8" s="43">
        <f>(D8/Inputs_Theory!$B$5)^2</f>
        <v>0.25</v>
      </c>
      <c r="J8" s="29">
        <f t="shared" si="2"/>
        <v>2</v>
      </c>
      <c r="K8" s="29">
        <f t="shared" si="3"/>
        <v>1.7888543819998317</v>
      </c>
      <c r="L8" s="29">
        <f>Inputs_Theory!$B$7/C8</f>
        <v>0.35714285714285715</v>
      </c>
      <c r="M8" s="42">
        <f>Inputs_Theory!$E$8*E8/C8</f>
        <v>1.1663055782817686</v>
      </c>
      <c r="N8" s="42">
        <f t="shared" si="4"/>
        <v>0.85740822870214317</v>
      </c>
      <c r="O8" s="42">
        <f>3*Inputs_Theory!$E$8*F8/C8^3</f>
        <v>1.0934114796391581</v>
      </c>
      <c r="P8" s="42">
        <f>PI()^2*Inputs_Theory!$E$8*F8/(2*C8)^2</f>
        <v>3.1475321358974098</v>
      </c>
      <c r="Q8" s="29">
        <v>74.165999999999997</v>
      </c>
      <c r="R8" s="29">
        <f t="shared" si="5"/>
        <v>101.02183876699679</v>
      </c>
      <c r="S8" s="31">
        <f t="shared" si="6"/>
        <v>0.73415808804531058</v>
      </c>
      <c r="T8" s="3"/>
      <c r="U8" s="3"/>
      <c r="V8" s="3"/>
      <c r="W8" s="3"/>
      <c r="X8" s="3"/>
      <c r="Y8" s="3"/>
      <c r="Z8" s="3"/>
    </row>
    <row r="9" spans="1:26" ht="14.5">
      <c r="A9" s="9">
        <v>6</v>
      </c>
      <c r="B9" s="29">
        <v>1.75</v>
      </c>
      <c r="C9" s="29">
        <v>5.25</v>
      </c>
      <c r="D9" s="29">
        <f>Inputs_Theory!$B$5-2*B9</f>
        <v>3.5</v>
      </c>
      <c r="E9" s="42">
        <f>PI()/4*(Inputs_Theory!$B$5^2-D9^2)</f>
        <v>28.863382504856226</v>
      </c>
      <c r="F9" s="42">
        <f>PI()/64*(Inputs_Theory!$B$5^4-D9^4)</f>
        <v>110.49263615140273</v>
      </c>
      <c r="G9" s="42">
        <f t="shared" si="0"/>
        <v>220.98527230280547</v>
      </c>
      <c r="H9" s="42">
        <f t="shared" si="1"/>
        <v>1.9565594803123161</v>
      </c>
      <c r="I9" s="43">
        <f>(D9/Inputs_Theory!$B$5)^2</f>
        <v>0.25</v>
      </c>
      <c r="J9" s="29">
        <f t="shared" si="2"/>
        <v>3</v>
      </c>
      <c r="K9" s="29">
        <f t="shared" si="3"/>
        <v>2.6832815729997477</v>
      </c>
      <c r="L9" s="29">
        <f>Inputs_Theory!$B$7/C9</f>
        <v>0.23809523809523808</v>
      </c>
      <c r="M9" s="42">
        <f>Inputs_Theory!$E$8*E9/C9</f>
        <v>0.77753705218784575</v>
      </c>
      <c r="N9" s="42">
        <f t="shared" si="4"/>
        <v>1.2861123430532146</v>
      </c>
      <c r="O9" s="42">
        <f>3*Inputs_Theory!$E$8*F9/C9^3</f>
        <v>0.32397377174493575</v>
      </c>
      <c r="P9" s="42">
        <f>PI()^2*Inputs_Theory!$E$8*F9/(2*C9)^2</f>
        <v>1.3989031715099598</v>
      </c>
      <c r="Q9" s="29">
        <v>126.16</v>
      </c>
      <c r="R9" s="29">
        <f t="shared" si="5"/>
        <v>151.5327581504952</v>
      </c>
      <c r="S9" s="31">
        <f t="shared" si="6"/>
        <v>0.83255925345662773</v>
      </c>
      <c r="T9" s="3"/>
      <c r="U9" s="3"/>
      <c r="V9" s="3"/>
      <c r="W9" s="3"/>
      <c r="X9" s="3"/>
      <c r="Y9" s="3"/>
      <c r="Z9" s="3"/>
    </row>
    <row r="10" spans="1:26" ht="14.5">
      <c r="A10" s="9">
        <v>7</v>
      </c>
      <c r="B10" s="29">
        <v>2.625</v>
      </c>
      <c r="C10" s="29">
        <v>1.75</v>
      </c>
      <c r="D10" s="29">
        <f>Inputs_Theory!$B$5-2*B10</f>
        <v>1.75</v>
      </c>
      <c r="E10" s="42">
        <f>PI()/4*(Inputs_Theory!$B$5^2-D10^2)</f>
        <v>36.07922813107028</v>
      </c>
      <c r="F10" s="42">
        <f>PI()/64*(Inputs_Theory!$B$5^4-D10^4)</f>
        <v>117.3984259108654</v>
      </c>
      <c r="G10" s="42">
        <f t="shared" si="0"/>
        <v>234.7968518217308</v>
      </c>
      <c r="H10" s="42">
        <f t="shared" si="1"/>
        <v>1.8038587112077265</v>
      </c>
      <c r="I10" s="43">
        <f>(D10/Inputs_Theory!$B$5)^2</f>
        <v>6.25E-2</v>
      </c>
      <c r="J10" s="29">
        <f t="shared" si="2"/>
        <v>0.66666666666666663</v>
      </c>
      <c r="K10" s="29">
        <f t="shared" si="3"/>
        <v>0.97014250014533188</v>
      </c>
      <c r="L10" s="29">
        <f>Inputs_Theory!$B$7/C10</f>
        <v>0.7142857142857143</v>
      </c>
      <c r="M10" s="42">
        <f>Inputs_Theory!$E$8*E10/C10</f>
        <v>2.9157639457044211</v>
      </c>
      <c r="N10" s="42">
        <f t="shared" si="4"/>
        <v>0.3429632914808573</v>
      </c>
      <c r="O10" s="42">
        <f>3*Inputs_Theory!$E$8*F10/C10^3</f>
        <v>9.2939975769328438</v>
      </c>
      <c r="P10" s="42">
        <f>PI()^2*Inputs_Theory!$E$8*F10/(2*C10)^2</f>
        <v>13.377011577563991</v>
      </c>
      <c r="Q10" s="29">
        <v>38.579000000000001</v>
      </c>
      <c r="R10" s="29">
        <f t="shared" si="5"/>
        <v>63.138649229372987</v>
      </c>
      <c r="S10" s="31">
        <f t="shared" si="6"/>
        <v>0.61102035711673897</v>
      </c>
      <c r="T10" s="3"/>
      <c r="U10" s="3"/>
      <c r="V10" s="3"/>
      <c r="W10" s="3"/>
      <c r="X10" s="3"/>
      <c r="Y10" s="3"/>
      <c r="Z10" s="3"/>
    </row>
    <row r="11" spans="1:26" ht="14.5">
      <c r="A11" s="9">
        <v>8</v>
      </c>
      <c r="B11" s="29">
        <v>2.625</v>
      </c>
      <c r="C11" s="29">
        <v>3.5</v>
      </c>
      <c r="D11" s="29">
        <f>Inputs_Theory!$B$5-2*B11</f>
        <v>1.75</v>
      </c>
      <c r="E11" s="42">
        <f>PI()/4*(Inputs_Theory!$B$5^2-D11^2)</f>
        <v>36.07922813107028</v>
      </c>
      <c r="F11" s="42">
        <f>PI()/64*(Inputs_Theory!$B$5^4-D11^4)</f>
        <v>117.3984259108654</v>
      </c>
      <c r="G11" s="42">
        <f t="shared" si="0"/>
        <v>234.7968518217308</v>
      </c>
      <c r="H11" s="42">
        <f t="shared" si="1"/>
        <v>1.8038587112077265</v>
      </c>
      <c r="I11" s="43">
        <f>(D11/Inputs_Theory!$B$5)^2</f>
        <v>6.25E-2</v>
      </c>
      <c r="J11" s="29">
        <f t="shared" si="2"/>
        <v>1.3333333333333333</v>
      </c>
      <c r="K11" s="29">
        <f t="shared" si="3"/>
        <v>1.9402850002906638</v>
      </c>
      <c r="L11" s="29">
        <f>Inputs_Theory!$B$7/C11</f>
        <v>0.35714285714285715</v>
      </c>
      <c r="M11" s="42">
        <f>Inputs_Theory!$E$8*E11/C11</f>
        <v>1.4578819728522106</v>
      </c>
      <c r="N11" s="42">
        <f t="shared" si="4"/>
        <v>0.6859265829617146</v>
      </c>
      <c r="O11" s="42">
        <f>3*Inputs_Theory!$E$8*F11/C11^3</f>
        <v>1.1617496971166055</v>
      </c>
      <c r="P11" s="42">
        <f>PI()^2*Inputs_Theory!$E$8*F11/(2*C11)^2</f>
        <v>3.3442528943909977</v>
      </c>
      <c r="Q11" s="29">
        <v>85.128</v>
      </c>
      <c r="R11" s="29">
        <f t="shared" si="5"/>
        <v>126.27729845874597</v>
      </c>
      <c r="S11" s="31">
        <f t="shared" si="6"/>
        <v>0.67413542290668182</v>
      </c>
      <c r="T11" s="3"/>
      <c r="U11" s="3"/>
      <c r="V11" s="3"/>
      <c r="W11" s="3"/>
      <c r="X11" s="3"/>
      <c r="Y11" s="3"/>
      <c r="Z11" s="3"/>
    </row>
    <row r="12" spans="1:26" ht="14.5">
      <c r="A12" s="44">
        <v>9</v>
      </c>
      <c r="B12" s="39">
        <v>2.625</v>
      </c>
      <c r="C12" s="39">
        <v>5.25</v>
      </c>
      <c r="D12" s="39">
        <f>Inputs_Theory!$B$5-2*B12</f>
        <v>1.75</v>
      </c>
      <c r="E12" s="45">
        <f>PI()/4*(Inputs_Theory!$B$5^2-D12^2)</f>
        <v>36.07922813107028</v>
      </c>
      <c r="F12" s="45">
        <f>PI()/64*(Inputs_Theory!$B$5^4-D12^4)</f>
        <v>117.3984259108654</v>
      </c>
      <c r="G12" s="45">
        <f t="shared" si="0"/>
        <v>234.7968518217308</v>
      </c>
      <c r="H12" s="45">
        <f t="shared" si="1"/>
        <v>1.8038587112077265</v>
      </c>
      <c r="I12" s="46">
        <f>(D12/Inputs_Theory!$B$5)^2</f>
        <v>6.25E-2</v>
      </c>
      <c r="J12" s="39">
        <f t="shared" si="2"/>
        <v>2</v>
      </c>
      <c r="K12" s="39">
        <f t="shared" si="3"/>
        <v>2.9104275004359956</v>
      </c>
      <c r="L12" s="39">
        <f>Inputs_Theory!$B$7/C12</f>
        <v>0.23809523809523808</v>
      </c>
      <c r="M12" s="45">
        <f>Inputs_Theory!$E$8*E12/C12</f>
        <v>0.97192131523480707</v>
      </c>
      <c r="N12" s="45">
        <f t="shared" si="4"/>
        <v>1.0288898744425719</v>
      </c>
      <c r="O12" s="45">
        <f>3*Inputs_Theory!$E$8*F12/C12^3</f>
        <v>0.34422213247899425</v>
      </c>
      <c r="P12" s="45">
        <f>PI()^2*Inputs_Theory!$E$8*F12/(2*C12)^2</f>
        <v>1.4863346197293323</v>
      </c>
      <c r="Q12" s="39">
        <v>148.61000000000001</v>
      </c>
      <c r="R12" s="39">
        <f t="shared" si="5"/>
        <v>189.41594768811896</v>
      </c>
      <c r="S12" s="35">
        <f t="shared" si="6"/>
        <v>0.78456963003290725</v>
      </c>
      <c r="T12" s="3"/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S2"/>
  </mergeCells>
  <conditionalFormatting sqref="I4:I12">
    <cfRule type="colorScale" priority="1">
      <colorScale>
        <cfvo type="min"/>
        <cfvo type="percentile" val="50"/>
        <cfvo type="max"/>
        <color rgb="FFF4CCCC"/>
        <color rgb="FFE2F0D9"/>
        <color rgb="FFF4CCCC"/>
      </colorScale>
    </cfRule>
  </conditionalFormatting>
  <conditionalFormatting sqref="M4:M12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{732C004F-6090-753A-B67B-8635E650B037}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2C004F-6090-753A-B67B-8635E650B037}">
            <x14:dataBar>
              <x14:cfvo type="min"/>
              <x14:cfvo type="max"/>
              <x14:negativeFillColor auto="1"/>
              <x14:axisColor auto="1"/>
            </x14:dataBar>
          </x14:cfRule>
          <xm:sqref>M4:M12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topLeftCell="A9" workbookViewId="0">
      <selection activeCell="M4" sqref="M4"/>
    </sheetView>
  </sheetViews>
  <sheetFormatPr defaultRowHeight="14"/>
  <cols>
    <col min="1" max="1" width="7" customWidth="1"/>
    <col min="2" max="3" width="13" customWidth="1"/>
    <col min="4" max="4" width="18" customWidth="1"/>
    <col min="5" max="5" width="13" customWidth="1"/>
    <col min="6" max="6" width="16" customWidth="1"/>
    <col min="7" max="7" width="18" customWidth="1"/>
    <col min="8" max="8" width="17" customWidth="1"/>
    <col min="9" max="10" width="11" customWidth="1"/>
    <col min="11" max="11" width="28" customWidth="1"/>
    <col min="12" max="12" width="25" customWidth="1"/>
    <col min="13" max="13" width="48" customWidth="1"/>
    <col min="14" max="14" width="28" customWidth="1"/>
  </cols>
  <sheetData>
    <row r="1" spans="1:26" ht="16" customHeight="1">
      <c r="A1" s="91" t="s">
        <v>123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">
      <c r="A3" s="2" t="s">
        <v>9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133</v>
      </c>
      <c r="L3" s="2" t="s">
        <v>134</v>
      </c>
      <c r="M3" s="2" t="s">
        <v>135</v>
      </c>
      <c r="N3" s="2" t="s">
        <v>136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2" customHeight="1">
      <c r="A4" s="4">
        <v>1</v>
      </c>
      <c r="B4" s="5" t="s">
        <v>137</v>
      </c>
      <c r="C4" s="24">
        <v>1.25</v>
      </c>
      <c r="D4" s="24">
        <v>1.25</v>
      </c>
      <c r="E4" s="24">
        <v>4</v>
      </c>
      <c r="F4" s="24">
        <v>1234.5999999999999</v>
      </c>
      <c r="G4" s="24">
        <v>27.004999999999999</v>
      </c>
      <c r="H4" s="24">
        <v>2085.6</v>
      </c>
      <c r="I4" s="5">
        <v>5543</v>
      </c>
      <c r="J4" s="5">
        <v>1959</v>
      </c>
      <c r="K4" s="5" t="s">
        <v>138</v>
      </c>
      <c r="L4" s="5" t="s">
        <v>139</v>
      </c>
      <c r="M4" s="6" t="s">
        <v>140</v>
      </c>
      <c r="N4" s="8" t="s">
        <v>141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2" customHeight="1">
      <c r="A5" s="9">
        <v>2</v>
      </c>
      <c r="B5" s="3" t="s">
        <v>137</v>
      </c>
      <c r="C5" s="29">
        <v>1.25</v>
      </c>
      <c r="D5" s="29">
        <v>1.25</v>
      </c>
      <c r="E5" s="29">
        <v>4</v>
      </c>
      <c r="F5" s="29">
        <v>1234.5999999999999</v>
      </c>
      <c r="G5" s="29">
        <v>59.988</v>
      </c>
      <c r="H5" s="29">
        <v>2382.5</v>
      </c>
      <c r="I5" s="3">
        <v>11909</v>
      </c>
      <c r="J5" s="3">
        <v>5815</v>
      </c>
      <c r="K5" s="3" t="s">
        <v>138</v>
      </c>
      <c r="L5" s="3" t="s">
        <v>139</v>
      </c>
      <c r="M5" s="10" t="s">
        <v>142</v>
      </c>
      <c r="N5" s="12" t="s">
        <v>141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2" customHeight="1">
      <c r="A6" s="9">
        <v>3</v>
      </c>
      <c r="B6" s="3" t="s">
        <v>137</v>
      </c>
      <c r="C6" s="29">
        <v>1.25</v>
      </c>
      <c r="D6" s="29">
        <v>1.25</v>
      </c>
      <c r="E6" s="29">
        <v>4</v>
      </c>
      <c r="F6" s="29">
        <v>1234.5999999999999</v>
      </c>
      <c r="G6" s="29">
        <v>92.230999999999995</v>
      </c>
      <c r="H6" s="29">
        <v>2672.7</v>
      </c>
      <c r="I6" s="3">
        <v>10388</v>
      </c>
      <c r="J6" s="3">
        <v>4750</v>
      </c>
      <c r="K6" s="3" t="s">
        <v>138</v>
      </c>
      <c r="L6" s="3" t="s">
        <v>139</v>
      </c>
      <c r="M6" s="10" t="s">
        <v>142</v>
      </c>
      <c r="N6" s="12" t="s">
        <v>141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2" customHeight="1">
      <c r="A7" s="9">
        <v>4</v>
      </c>
      <c r="B7" s="3" t="s">
        <v>137</v>
      </c>
      <c r="C7" s="29">
        <v>1.25</v>
      </c>
      <c r="D7" s="29">
        <v>1.25</v>
      </c>
      <c r="E7" s="29">
        <v>4</v>
      </c>
      <c r="F7" s="29">
        <v>1424.4</v>
      </c>
      <c r="G7" s="29">
        <v>34.546999999999997</v>
      </c>
      <c r="H7" s="29">
        <v>2343.4</v>
      </c>
      <c r="I7" s="3">
        <v>7413</v>
      </c>
      <c r="J7" s="3">
        <v>2829</v>
      </c>
      <c r="K7" s="3" t="s">
        <v>138</v>
      </c>
      <c r="L7" s="3" t="s">
        <v>139</v>
      </c>
      <c r="M7" s="10" t="s">
        <v>143</v>
      </c>
      <c r="N7" s="12" t="s">
        <v>141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" customHeight="1">
      <c r="A8" s="9">
        <v>5</v>
      </c>
      <c r="B8" s="3" t="s">
        <v>137</v>
      </c>
      <c r="C8" s="29">
        <v>1.25</v>
      </c>
      <c r="D8" s="29">
        <v>1.25</v>
      </c>
      <c r="E8" s="29">
        <v>4</v>
      </c>
      <c r="F8" s="29">
        <v>1424.4</v>
      </c>
      <c r="G8" s="29">
        <v>74.165999999999997</v>
      </c>
      <c r="H8" s="29">
        <v>2699.9</v>
      </c>
      <c r="I8" s="3">
        <v>6869</v>
      </c>
      <c r="J8" s="3">
        <v>2574</v>
      </c>
      <c r="K8" s="3" t="s">
        <v>138</v>
      </c>
      <c r="L8" s="3" t="s">
        <v>139</v>
      </c>
      <c r="M8" s="10" t="s">
        <v>144</v>
      </c>
      <c r="N8" s="12" t="s">
        <v>141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2" customHeight="1">
      <c r="A9" s="9">
        <v>6</v>
      </c>
      <c r="B9" s="3" t="s">
        <v>137</v>
      </c>
      <c r="C9" s="29">
        <v>1.25</v>
      </c>
      <c r="D9" s="29">
        <v>1.25</v>
      </c>
      <c r="E9" s="29">
        <v>4</v>
      </c>
      <c r="F9" s="29">
        <v>1424.4</v>
      </c>
      <c r="G9" s="29">
        <v>126.16</v>
      </c>
      <c r="H9" s="29">
        <v>3167.8</v>
      </c>
      <c r="I9" s="3">
        <v>8028</v>
      </c>
      <c r="J9" s="3">
        <v>3136</v>
      </c>
      <c r="K9" s="3" t="s">
        <v>138</v>
      </c>
      <c r="L9" s="3" t="s">
        <v>139</v>
      </c>
      <c r="M9" s="10" t="s">
        <v>145</v>
      </c>
      <c r="N9" s="12" t="s">
        <v>141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2" customHeight="1">
      <c r="A10" s="9">
        <v>7</v>
      </c>
      <c r="B10" s="3" t="s">
        <v>146</v>
      </c>
      <c r="C10" s="29">
        <v>1.25</v>
      </c>
      <c r="D10" s="29">
        <v>1.2466999999999999</v>
      </c>
      <c r="E10" s="29">
        <v>4</v>
      </c>
      <c r="F10" s="29">
        <v>1537.4</v>
      </c>
      <c r="G10" s="29">
        <v>38.579000000000001</v>
      </c>
      <c r="H10" s="29">
        <v>2492.6</v>
      </c>
      <c r="I10" s="3">
        <v>9992</v>
      </c>
      <c r="J10" s="3">
        <v>4242</v>
      </c>
      <c r="K10" s="3" t="s">
        <v>138</v>
      </c>
      <c r="L10" s="3" t="s">
        <v>139</v>
      </c>
      <c r="M10" s="10" t="s">
        <v>147</v>
      </c>
      <c r="N10" s="12" t="s">
        <v>148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2" customHeight="1">
      <c r="A11" s="9">
        <v>8</v>
      </c>
      <c r="B11" s="3" t="s">
        <v>137</v>
      </c>
      <c r="C11" s="29">
        <v>1.25</v>
      </c>
      <c r="D11" s="29">
        <v>1.25</v>
      </c>
      <c r="E11" s="29">
        <v>4</v>
      </c>
      <c r="F11" s="29">
        <v>1537.4</v>
      </c>
      <c r="G11" s="29">
        <v>85.128</v>
      </c>
      <c r="H11" s="29">
        <v>2911.5</v>
      </c>
      <c r="I11" s="3">
        <v>8217</v>
      </c>
      <c r="J11" s="3">
        <v>3404</v>
      </c>
      <c r="K11" s="3" t="s">
        <v>138</v>
      </c>
      <c r="L11" s="3" t="s">
        <v>139</v>
      </c>
      <c r="M11" s="10" t="s">
        <v>149</v>
      </c>
      <c r="N11" s="12" t="s">
        <v>141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2" customHeight="1">
      <c r="A12" s="44">
        <v>9</v>
      </c>
      <c r="B12" s="37" t="s">
        <v>137</v>
      </c>
      <c r="C12" s="39">
        <v>1.25</v>
      </c>
      <c r="D12" s="39">
        <v>1.25</v>
      </c>
      <c r="E12" s="39">
        <v>4</v>
      </c>
      <c r="F12" s="39">
        <v>1537.4</v>
      </c>
      <c r="G12" s="39">
        <v>148.61000000000001</v>
      </c>
      <c r="H12" s="39">
        <v>3482.8</v>
      </c>
      <c r="I12" s="37">
        <v>9493</v>
      </c>
      <c r="J12" s="37">
        <v>4139</v>
      </c>
      <c r="K12" s="37" t="s">
        <v>138</v>
      </c>
      <c r="L12" s="37" t="s">
        <v>139</v>
      </c>
      <c r="M12" s="47" t="s">
        <v>150</v>
      </c>
      <c r="N12" s="48" t="s">
        <v>141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92" t="s">
        <v>151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399999999999999" customHeight="1">
      <c r="A16" s="121" t="s">
        <v>152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399999999999999" customHeight="1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399999999999999" customHeight="1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399999999999999" customHeight="1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3">
    <mergeCell ref="A1:N2"/>
    <mergeCell ref="A15:N15"/>
    <mergeCell ref="A16:N19"/>
  </mergeCells>
  <conditionalFormatting sqref="B4:B12">
    <cfRule type="expression" dxfId="6" priority="1">
      <formula>B4="Failed"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T2"/>
    </sheetView>
  </sheetViews>
  <sheetFormatPr defaultRowHeight="14"/>
  <cols>
    <col min="1" max="1" width="7" customWidth="1"/>
    <col min="2" max="2" width="12" customWidth="1"/>
    <col min="3" max="20" width="15" customWidth="1"/>
  </cols>
  <sheetData>
    <row r="1" spans="1:26" ht="16" customHeight="1">
      <c r="A1" s="91" t="s">
        <v>153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"/>
      <c r="V2" s="3"/>
      <c r="W2" s="3"/>
      <c r="X2" s="3"/>
      <c r="Y2" s="3"/>
      <c r="Z2" s="3"/>
    </row>
    <row r="3" spans="1:26" ht="43.5">
      <c r="A3" s="2" t="s">
        <v>9</v>
      </c>
      <c r="B3" s="2" t="s">
        <v>154</v>
      </c>
      <c r="C3" s="2" t="s">
        <v>155</v>
      </c>
      <c r="D3" s="2" t="s">
        <v>156</v>
      </c>
      <c r="E3" s="2" t="s">
        <v>157</v>
      </c>
      <c r="F3" s="2" t="s">
        <v>158</v>
      </c>
      <c r="G3" s="2" t="s">
        <v>159</v>
      </c>
      <c r="H3" s="2" t="s">
        <v>160</v>
      </c>
      <c r="I3" s="2" t="s">
        <v>161</v>
      </c>
      <c r="J3" s="2" t="s">
        <v>12</v>
      </c>
      <c r="K3" s="2" t="s">
        <v>162</v>
      </c>
      <c r="L3" s="2" t="s">
        <v>163</v>
      </c>
      <c r="M3" s="2" t="s">
        <v>164</v>
      </c>
      <c r="N3" s="2" t="s">
        <v>165</v>
      </c>
      <c r="O3" s="2" t="s">
        <v>166</v>
      </c>
      <c r="P3" s="2" t="s">
        <v>167</v>
      </c>
      <c r="Q3" s="2" t="s">
        <v>168</v>
      </c>
      <c r="R3" s="2" t="s">
        <v>169</v>
      </c>
      <c r="S3" s="2" t="s">
        <v>170</v>
      </c>
      <c r="T3" s="2" t="s">
        <v>171</v>
      </c>
      <c r="U3" s="3"/>
      <c r="V3" s="3"/>
      <c r="W3" s="3"/>
      <c r="X3" s="3"/>
      <c r="Y3" s="3"/>
      <c r="Z3" s="3"/>
    </row>
    <row r="4" spans="1:26" ht="14.5">
      <c r="A4" s="4">
        <v>1</v>
      </c>
      <c r="B4" s="5" t="s">
        <v>137</v>
      </c>
      <c r="C4" s="27">
        <v>1.2879</v>
      </c>
      <c r="D4" s="27">
        <v>-0.30586000000000002</v>
      </c>
      <c r="E4" s="27">
        <v>0.30793999999999999</v>
      </c>
      <c r="F4" s="27">
        <v>-0.26207999999999998</v>
      </c>
      <c r="G4" s="27">
        <v>0.24323</v>
      </c>
      <c r="H4" s="27">
        <v>-1.2877000000000001</v>
      </c>
      <c r="I4" s="27">
        <v>7.1348999999999996E-2</v>
      </c>
      <c r="J4" s="27">
        <v>0.38401999999999997</v>
      </c>
      <c r="K4" s="27">
        <v>6.1811999999999999E-2</v>
      </c>
      <c r="L4" s="27">
        <v>4.1209000000000003E-2</v>
      </c>
      <c r="M4" s="27">
        <v>5.8107000000000002E-3</v>
      </c>
      <c r="N4" s="27">
        <v>0.18595</v>
      </c>
      <c r="O4" s="27">
        <v>9.5730999999999993E-3</v>
      </c>
      <c r="P4" s="27">
        <v>-2.6995000000000001E-3</v>
      </c>
      <c r="Q4" s="27">
        <v>6.3496000000000004E-3</v>
      </c>
      <c r="R4" s="27">
        <v>-0.39382</v>
      </c>
      <c r="S4" s="27">
        <v>0.39388000000000001</v>
      </c>
      <c r="T4" s="49">
        <v>6.2659999999999993E-2</v>
      </c>
      <c r="U4" s="3"/>
      <c r="V4" s="3"/>
      <c r="W4" s="3"/>
      <c r="X4" s="3"/>
      <c r="Y4" s="3"/>
      <c r="Z4" s="3"/>
    </row>
    <row r="5" spans="1:26" ht="14.5">
      <c r="A5" s="9">
        <v>2</v>
      </c>
      <c r="B5" s="3" t="s">
        <v>137</v>
      </c>
      <c r="C5" s="32">
        <v>1.2723</v>
      </c>
      <c r="D5" s="32">
        <v>-0.29508000000000001</v>
      </c>
      <c r="E5" s="32">
        <v>0.30199999999999999</v>
      </c>
      <c r="F5" s="32">
        <v>-0.28399999999999997</v>
      </c>
      <c r="G5" s="32">
        <v>0.26685999999999999</v>
      </c>
      <c r="H5" s="32">
        <v>-1.2722</v>
      </c>
      <c r="I5" s="32">
        <v>3.0519000000000001E-2</v>
      </c>
      <c r="J5" s="32">
        <v>0.39039000000000001</v>
      </c>
      <c r="K5" s="32">
        <v>0.1179</v>
      </c>
      <c r="L5" s="32">
        <v>4.7958000000000001E-2</v>
      </c>
      <c r="M5" s="32">
        <v>1.439E-2</v>
      </c>
      <c r="N5" s="32">
        <v>0.14115</v>
      </c>
      <c r="O5" s="32">
        <v>1.6088000000000001E-3</v>
      </c>
      <c r="P5" s="32">
        <v>3.1095999999999999E-4</v>
      </c>
      <c r="Q5" s="32">
        <v>8.8708999999999999E-4</v>
      </c>
      <c r="R5" s="32">
        <v>-0.25363000000000002</v>
      </c>
      <c r="S5" s="32">
        <v>0.25363000000000002</v>
      </c>
      <c r="T5" s="50">
        <v>5.6734000000000003E-3</v>
      </c>
      <c r="U5" s="3"/>
      <c r="V5" s="3"/>
      <c r="W5" s="3"/>
      <c r="X5" s="3"/>
      <c r="Y5" s="3"/>
      <c r="Z5" s="3"/>
    </row>
    <row r="6" spans="1:26" ht="14.5">
      <c r="A6" s="9">
        <v>3</v>
      </c>
      <c r="B6" s="3" t="s">
        <v>137</v>
      </c>
      <c r="C6" s="32">
        <v>1.2653000000000001</v>
      </c>
      <c r="D6" s="32">
        <v>-0.31707000000000002</v>
      </c>
      <c r="E6" s="32">
        <v>0.29510999999999998</v>
      </c>
      <c r="F6" s="32">
        <v>-0.29432999999999998</v>
      </c>
      <c r="G6" s="32">
        <v>0.29071999999999998</v>
      </c>
      <c r="H6" s="32">
        <v>-1.2652000000000001</v>
      </c>
      <c r="I6" s="32">
        <v>1.5601E-2</v>
      </c>
      <c r="J6" s="32">
        <v>0.36118</v>
      </c>
      <c r="K6" s="32">
        <v>7.8214000000000006E-2</v>
      </c>
      <c r="L6" s="32">
        <v>4.4558E-2</v>
      </c>
      <c r="M6" s="32">
        <v>9.4931000000000008E-3</v>
      </c>
      <c r="N6" s="32">
        <v>0.12106</v>
      </c>
      <c r="O6" s="32">
        <v>2.3574999999999998E-3</v>
      </c>
      <c r="P6" s="32">
        <v>-7.4615E-4</v>
      </c>
      <c r="Q6" s="32">
        <v>1.9181999999999999E-4</v>
      </c>
      <c r="R6" s="32">
        <v>-0.18224000000000001</v>
      </c>
      <c r="S6" s="32">
        <v>0.18224000000000001</v>
      </c>
      <c r="T6" s="50">
        <v>5.8236E-3</v>
      </c>
      <c r="U6" s="3"/>
      <c r="V6" s="3"/>
      <c r="W6" s="3"/>
      <c r="X6" s="3"/>
      <c r="Y6" s="3"/>
      <c r="Z6" s="3"/>
    </row>
    <row r="7" spans="1:26" ht="14.5">
      <c r="A7" s="9">
        <v>4</v>
      </c>
      <c r="B7" s="3" t="s">
        <v>137</v>
      </c>
      <c r="C7" s="32">
        <v>1.2875000000000001</v>
      </c>
      <c r="D7" s="32">
        <v>-0.45750000000000002</v>
      </c>
      <c r="E7" s="32">
        <v>0.42381999999999997</v>
      </c>
      <c r="F7" s="32">
        <v>-0.42260999999999999</v>
      </c>
      <c r="G7" s="32">
        <v>0.40017000000000003</v>
      </c>
      <c r="H7" s="32">
        <v>-1.2668999999999999</v>
      </c>
      <c r="I7" s="32">
        <v>9.4296000000000005E-2</v>
      </c>
      <c r="J7" s="32">
        <v>0.54173000000000004</v>
      </c>
      <c r="K7" s="32">
        <v>6.5235000000000001E-2</v>
      </c>
      <c r="L7" s="32">
        <v>6.8249000000000004E-2</v>
      </c>
      <c r="M7" s="32">
        <v>7.4679000000000004E-3</v>
      </c>
      <c r="N7" s="32">
        <v>0.52259</v>
      </c>
      <c r="O7" s="32">
        <v>2.3462E-2</v>
      </c>
      <c r="P7" s="32">
        <v>-7.4967999999999996E-3</v>
      </c>
      <c r="Q7" s="32">
        <v>1.8145999999999999E-5</v>
      </c>
      <c r="R7" s="32">
        <v>-1.1660999999999999</v>
      </c>
      <c r="S7" s="32">
        <v>1.1661999999999999</v>
      </c>
      <c r="T7" s="50">
        <v>2.3793000000000002E-2</v>
      </c>
      <c r="U7" s="3"/>
      <c r="V7" s="3"/>
      <c r="W7" s="3"/>
      <c r="X7" s="3"/>
      <c r="Y7" s="3"/>
      <c r="Z7" s="3"/>
    </row>
    <row r="8" spans="1:26" ht="14.5">
      <c r="A8" s="9">
        <v>5</v>
      </c>
      <c r="B8" s="3" t="s">
        <v>137</v>
      </c>
      <c r="C8" s="32">
        <v>1.2784</v>
      </c>
      <c r="D8" s="32">
        <v>-0.31703999999999999</v>
      </c>
      <c r="E8" s="32">
        <v>0.34378999999999998</v>
      </c>
      <c r="F8" s="32">
        <v>-0.35807</v>
      </c>
      <c r="G8" s="32">
        <v>0.34683000000000003</v>
      </c>
      <c r="H8" s="32">
        <v>-1.2771999999999999</v>
      </c>
      <c r="I8" s="32">
        <v>5.7537999999999999E-2</v>
      </c>
      <c r="J8" s="32">
        <v>0.39424999999999999</v>
      </c>
      <c r="K8" s="32">
        <v>5.1908999999999997E-2</v>
      </c>
      <c r="L8" s="32">
        <v>4.7683000000000003E-2</v>
      </c>
      <c r="M8" s="32">
        <v>6.1698999999999999E-3</v>
      </c>
      <c r="N8" s="32">
        <v>0.31363999999999997</v>
      </c>
      <c r="O8" s="32">
        <v>7.1484000000000001E-3</v>
      </c>
      <c r="P8" s="32">
        <v>9.3836000000000006E-3</v>
      </c>
      <c r="Q8" s="32">
        <v>-2.6448000000000001E-3</v>
      </c>
      <c r="R8" s="32">
        <v>-0.52946000000000004</v>
      </c>
      <c r="S8" s="32">
        <v>0.52954999999999997</v>
      </c>
      <c r="T8" s="50">
        <v>9.2367000000000005E-3</v>
      </c>
      <c r="U8" s="3"/>
      <c r="V8" s="3"/>
      <c r="W8" s="3"/>
      <c r="X8" s="3"/>
      <c r="Y8" s="3"/>
      <c r="Z8" s="3"/>
    </row>
    <row r="9" spans="1:26" ht="14.5">
      <c r="A9" s="9">
        <v>6</v>
      </c>
      <c r="B9" s="3" t="s">
        <v>137</v>
      </c>
      <c r="C9" s="32">
        <v>1.25</v>
      </c>
      <c r="D9" s="32">
        <v>-0.29568</v>
      </c>
      <c r="E9" s="32">
        <v>0.31531999999999999</v>
      </c>
      <c r="F9" s="32">
        <v>-0.29724</v>
      </c>
      <c r="G9" s="32">
        <v>0.32022</v>
      </c>
      <c r="H9" s="32">
        <v>-1.25</v>
      </c>
      <c r="I9" s="32">
        <v>1.9165000000000001E-2</v>
      </c>
      <c r="J9" s="32">
        <v>0.41044999999999998</v>
      </c>
      <c r="K9" s="32">
        <v>3.9758000000000002E-2</v>
      </c>
      <c r="L9" s="32">
        <v>4.9148999999999998E-2</v>
      </c>
      <c r="M9" s="32">
        <v>4.7938E-3</v>
      </c>
      <c r="N9" s="32">
        <v>0.24757999999999999</v>
      </c>
      <c r="O9" s="32">
        <v>6.2189999999999997E-3</v>
      </c>
      <c r="P9" s="32">
        <v>-5.4564999999999995E-4</v>
      </c>
      <c r="Q9" s="32">
        <v>1.663E-3</v>
      </c>
      <c r="R9" s="32">
        <v>-0.38815</v>
      </c>
      <c r="S9" s="32">
        <v>0.38815</v>
      </c>
      <c r="T9" s="50">
        <v>1.5358999999999999E-2</v>
      </c>
      <c r="U9" s="3"/>
      <c r="V9" s="3"/>
      <c r="W9" s="3"/>
      <c r="X9" s="3"/>
      <c r="Y9" s="3"/>
      <c r="Z9" s="3"/>
    </row>
    <row r="10" spans="1:26" ht="14.5">
      <c r="A10" s="9">
        <v>7</v>
      </c>
      <c r="B10" s="3" t="s">
        <v>146</v>
      </c>
      <c r="C10" s="32">
        <v>1.2466999999999999</v>
      </c>
      <c r="D10" s="32">
        <v>-0.41506999999999999</v>
      </c>
      <c r="E10" s="32">
        <v>0.40912999999999999</v>
      </c>
      <c r="F10" s="32">
        <v>-0.41465000000000002</v>
      </c>
      <c r="G10" s="32">
        <v>0.40914</v>
      </c>
      <c r="H10" s="32">
        <v>-1.2466999999999999</v>
      </c>
      <c r="I10" s="32">
        <v>0.12143</v>
      </c>
      <c r="J10" s="32">
        <v>1.0378000000000001</v>
      </c>
      <c r="K10" s="32">
        <v>0.16067999999999999</v>
      </c>
      <c r="L10" s="32">
        <v>0.17953</v>
      </c>
      <c r="M10" s="32">
        <v>2.0483000000000001E-2</v>
      </c>
      <c r="N10" s="32">
        <v>0.67088999999999999</v>
      </c>
      <c r="O10" s="32">
        <v>2.4541E-2</v>
      </c>
      <c r="P10" s="32">
        <v>5.7350999999999995E-4</v>
      </c>
      <c r="Q10" s="32">
        <v>-1.4032999999999999E-3</v>
      </c>
      <c r="R10" s="32">
        <v>-1.621</v>
      </c>
      <c r="S10" s="32">
        <v>1.621</v>
      </c>
      <c r="T10" s="50">
        <v>6.6278000000000004E-2</v>
      </c>
      <c r="U10" s="3"/>
      <c r="V10" s="3"/>
      <c r="W10" s="3"/>
      <c r="X10" s="3"/>
      <c r="Y10" s="3"/>
      <c r="Z10" s="3"/>
    </row>
    <row r="11" spans="1:26" ht="14.5">
      <c r="A11" s="9">
        <v>8</v>
      </c>
      <c r="B11" s="3" t="s">
        <v>137</v>
      </c>
      <c r="C11" s="32">
        <v>1.2633000000000001</v>
      </c>
      <c r="D11" s="32">
        <v>-0.34832000000000002</v>
      </c>
      <c r="E11" s="32">
        <v>0.31264999999999998</v>
      </c>
      <c r="F11" s="32">
        <v>-0.30468000000000001</v>
      </c>
      <c r="G11" s="32">
        <v>0.34944999999999998</v>
      </c>
      <c r="H11" s="32">
        <v>-1.2628999999999999</v>
      </c>
      <c r="I11" s="32">
        <v>4.6754999999999998E-2</v>
      </c>
      <c r="J11" s="32">
        <v>0.54173000000000004</v>
      </c>
      <c r="K11" s="32">
        <v>7.7489000000000002E-2</v>
      </c>
      <c r="L11" s="32">
        <v>6.6400000000000001E-2</v>
      </c>
      <c r="M11" s="32">
        <v>9.3921999999999999E-3</v>
      </c>
      <c r="N11" s="32">
        <v>0.39134000000000002</v>
      </c>
      <c r="O11" s="32">
        <v>5.4900000000000001E-3</v>
      </c>
      <c r="P11" s="32">
        <v>-6.1942999999999998E-3</v>
      </c>
      <c r="Q11" s="32">
        <v>1.2049999999999999E-3</v>
      </c>
      <c r="R11" s="32">
        <v>-0.80257999999999996</v>
      </c>
      <c r="S11" s="32">
        <v>0.80259999999999998</v>
      </c>
      <c r="T11" s="50">
        <v>2.1521999999999999E-2</v>
      </c>
      <c r="U11" s="3"/>
      <c r="V11" s="3"/>
      <c r="W11" s="3"/>
      <c r="X11" s="3"/>
      <c r="Y11" s="3"/>
      <c r="Z11" s="3"/>
    </row>
    <row r="12" spans="1:26" ht="14.5">
      <c r="A12" s="44">
        <v>9</v>
      </c>
      <c r="B12" s="37" t="s">
        <v>137</v>
      </c>
      <c r="C12" s="51">
        <v>1.2922</v>
      </c>
      <c r="D12" s="51">
        <v>-0.28341</v>
      </c>
      <c r="E12" s="51">
        <v>0.26526</v>
      </c>
      <c r="F12" s="51">
        <v>-0.28178999999999998</v>
      </c>
      <c r="G12" s="51">
        <v>0.27812999999999999</v>
      </c>
      <c r="H12" s="51">
        <v>-1.2912999999999999</v>
      </c>
      <c r="I12" s="51">
        <v>3.1253000000000003E-2</v>
      </c>
      <c r="J12" s="51">
        <v>0.44392999999999999</v>
      </c>
      <c r="K12" s="51">
        <v>5.8664000000000001E-2</v>
      </c>
      <c r="L12" s="51">
        <v>5.3374999999999999E-2</v>
      </c>
      <c r="M12" s="51">
        <v>7.2144000000000002E-3</v>
      </c>
      <c r="N12" s="51">
        <v>0.32715</v>
      </c>
      <c r="O12" s="51">
        <v>4.3772999999999998E-3</v>
      </c>
      <c r="P12" s="51">
        <v>-2.5991000000000002E-4</v>
      </c>
      <c r="Q12" s="51">
        <v>-2.1354999999999998E-3</v>
      </c>
      <c r="R12" s="51">
        <v>-0.58160999999999996</v>
      </c>
      <c r="S12" s="51">
        <v>0.58160999999999996</v>
      </c>
      <c r="T12" s="52">
        <v>1.3802E-2</v>
      </c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T2"/>
  </mergeCells>
  <conditionalFormatting sqref="B4:B12">
    <cfRule type="expression" dxfId="5" priority="3">
      <formula>B4="Failed"</formula>
    </cfRule>
  </conditionalFormatting>
  <conditionalFormatting sqref="J4:J12">
    <cfRule type="dataBar" priority="1">
      <dataBar>
        <cfvo type="min"/>
        <cfvo type="max"/>
        <color rgb="FF2F75B5"/>
      </dataBar>
    </cfRule>
    <cfRule type="dataBar" priority="4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{45CBB21F-6887-320D-996E-2B06E65472F3}</x14:id>
        </ext>
      </extLst>
    </cfRule>
  </conditionalFormatting>
  <conditionalFormatting sqref="N4:N12">
    <cfRule type="dataBar" priority="2">
      <dataBar>
        <cfvo type="min"/>
        <cfvo type="max"/>
        <color rgb="FF0F6B78"/>
      </dataBar>
    </cfRule>
    <cfRule type="dataBar" priority="5">
      <dataBar>
        <cfvo type="min"/>
        <cfvo type="max"/>
        <color rgb="FF0F6B78"/>
      </dataBar>
      <extLst>
        <ext xmlns:x14="http://schemas.microsoft.com/office/spreadsheetml/2009/9/main" uri="{B025F937-C7B1-47D3-B67F-A62EFF666E3E}">
          <x14:id>{AE0A7B28-790D-19AE-C2C6-8472311F2959}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BB21F-6887-320D-996E-2B06E65472F3}">
            <x14:dataBar>
              <x14:cfvo type="min"/>
              <x14:cfvo type="max"/>
              <x14:negativeFillColor auto="1"/>
              <x14:axisColor auto="1"/>
            </x14:dataBar>
          </x14:cfRule>
          <xm:sqref>J4:J12</xm:sqref>
        </x14:conditionalFormatting>
        <x14:conditionalFormatting xmlns:xm="http://schemas.microsoft.com/office/excel/2006/main">
          <x14:cfRule type="dataBar" id="{AE0A7B28-790D-19AE-C2C6-8472311F2959}">
            <x14:dataBar>
              <x14:cfvo type="min"/>
              <x14:cfvo type="max"/>
              <x14:negativeFillColor auto="1"/>
              <x14:axisColor auto="1"/>
            </x14:dataBar>
          </x14:cfRule>
          <xm:sqref>N4:N12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V2"/>
    </sheetView>
  </sheetViews>
  <sheetFormatPr defaultRowHeight="14"/>
  <cols>
    <col min="1" max="1" width="7" customWidth="1"/>
    <col min="2" max="3" width="10" customWidth="1"/>
    <col min="4" max="4" width="12" customWidth="1"/>
    <col min="5" max="22" width="15" customWidth="1"/>
  </cols>
  <sheetData>
    <row r="1" spans="1:26" ht="16" customHeight="1">
      <c r="A1" s="91" t="s">
        <v>172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3"/>
      <c r="X2" s="3"/>
      <c r="Y2" s="3"/>
      <c r="Z2" s="3"/>
    </row>
    <row r="3" spans="1:26" ht="43.5">
      <c r="A3" s="2" t="s">
        <v>9</v>
      </c>
      <c r="B3" s="2" t="s">
        <v>173</v>
      </c>
      <c r="C3" s="2" t="s">
        <v>174</v>
      </c>
      <c r="D3" s="2" t="s">
        <v>154</v>
      </c>
      <c r="E3" s="2" t="s">
        <v>11</v>
      </c>
      <c r="F3" s="2" t="s">
        <v>175</v>
      </c>
      <c r="G3" s="2" t="s">
        <v>176</v>
      </c>
      <c r="H3" s="2" t="s">
        <v>14</v>
      </c>
      <c r="I3" s="2" t="s">
        <v>177</v>
      </c>
      <c r="J3" s="2" t="s">
        <v>178</v>
      </c>
      <c r="K3" s="2" t="s">
        <v>179</v>
      </c>
      <c r="L3" s="2" t="s">
        <v>180</v>
      </c>
      <c r="M3" s="2" t="s">
        <v>181</v>
      </c>
      <c r="N3" s="2" t="s">
        <v>182</v>
      </c>
      <c r="O3" s="2" t="s">
        <v>183</v>
      </c>
      <c r="P3" s="2" t="s">
        <v>184</v>
      </c>
      <c r="Q3" s="2" t="s">
        <v>113</v>
      </c>
      <c r="R3" s="2" t="s">
        <v>185</v>
      </c>
      <c r="S3" s="2" t="s">
        <v>186</v>
      </c>
      <c r="T3" s="2" t="s">
        <v>12</v>
      </c>
      <c r="U3" s="2" t="s">
        <v>187</v>
      </c>
      <c r="V3" s="2" t="s">
        <v>188</v>
      </c>
      <c r="W3" s="3"/>
      <c r="X3" s="3"/>
      <c r="Y3" s="3"/>
      <c r="Z3" s="3"/>
    </row>
    <row r="4" spans="1:26" ht="14.5">
      <c r="A4" s="4">
        <f>FEA_Raw!A4</f>
        <v>1</v>
      </c>
      <c r="B4" s="40">
        <f>Theoretical_Calc!B4</f>
        <v>0.875</v>
      </c>
      <c r="C4" s="40">
        <f>Theoretical_Calc!C4</f>
        <v>1.75</v>
      </c>
      <c r="D4" s="40" t="str">
        <f>FEA_Raw!B4</f>
        <v>Solved</v>
      </c>
      <c r="E4" s="40">
        <f>ABS(FEA_Raw!R4)</f>
        <v>0.39382</v>
      </c>
      <c r="F4" s="40">
        <f>E4/Inputs_Theory!$B$7</f>
        <v>0.315056</v>
      </c>
      <c r="G4" s="40">
        <f>MAX(-FEA_Raw!D4,FEA_Raw!E4,-FEA_Raw!F4,FEA_Raw!G4)</f>
        <v>0.30793999999999999</v>
      </c>
      <c r="H4" s="40">
        <f>G4/ABS(FEA_Raw!H4)</f>
        <v>0.23913955113768734</v>
      </c>
      <c r="I4" s="40">
        <f>FEA_Raw!J4/FEA_Raw!K4</f>
        <v>6.2127095062447415</v>
      </c>
      <c r="J4" s="40">
        <f>FEA_Raw!L4/FEA_Raw!M4</f>
        <v>7.0919166365498132</v>
      </c>
      <c r="K4" s="40">
        <f>E4/Theoretical_Calc!E4</f>
        <v>2.3390189971200081E-2</v>
      </c>
      <c r="L4" s="40">
        <f>FEA_Raw!L4/K4</f>
        <v>1.7618069819330198</v>
      </c>
      <c r="M4" s="40">
        <f>FEA_Raw!N4/E4</f>
        <v>0.47217002691584986</v>
      </c>
      <c r="N4" s="40">
        <f>2*FEA_Raw!N4/(E4*Inputs_Theory!$B$7)</f>
        <v>0.75547204306535976</v>
      </c>
      <c r="O4" s="40">
        <f>F4/Theoretical_Calc!M4</f>
        <v>0.23154137734455635</v>
      </c>
      <c r="P4" s="40">
        <f>Theoretical_Calc!O4</f>
        <v>6.3782336312284231</v>
      </c>
      <c r="Q4" s="40">
        <f>Theoretical_Calc!J4</f>
        <v>2</v>
      </c>
      <c r="R4" s="40">
        <f>Theoretical_Calc!D4</f>
        <v>5.25</v>
      </c>
      <c r="S4" s="41">
        <f>Theoretical_Calc!I4</f>
        <v>0.5625</v>
      </c>
      <c r="T4" s="40">
        <f>FEA_Raw!J4</f>
        <v>0.38401999999999997</v>
      </c>
      <c r="U4" s="40">
        <f>FEA_Raw!N4</f>
        <v>0.18595</v>
      </c>
      <c r="V4" s="53">
        <f t="shared" ref="V4:V12" si="0">IF(D4="Solved",1,0)</f>
        <v>1</v>
      </c>
      <c r="W4" s="3"/>
      <c r="X4" s="3"/>
      <c r="Y4" s="3"/>
      <c r="Z4" s="3"/>
    </row>
    <row r="5" spans="1:26" ht="14.5">
      <c r="A5" s="9">
        <f>FEA_Raw!A5</f>
        <v>2</v>
      </c>
      <c r="B5" s="42">
        <f>Theoretical_Calc!B5</f>
        <v>0.875</v>
      </c>
      <c r="C5" s="42">
        <f>Theoretical_Calc!C5</f>
        <v>3.5</v>
      </c>
      <c r="D5" s="42" t="str">
        <f>FEA_Raw!B5</f>
        <v>Solved</v>
      </c>
      <c r="E5" s="42">
        <f>ABS(FEA_Raw!R5)</f>
        <v>0.25363000000000002</v>
      </c>
      <c r="F5" s="42">
        <f>E5/Inputs_Theory!$B$7</f>
        <v>0.20290400000000003</v>
      </c>
      <c r="G5" s="42">
        <f>MAX(-FEA_Raw!D5,FEA_Raw!E5,-FEA_Raw!F5,FEA_Raw!G5)</f>
        <v>0.30199999999999999</v>
      </c>
      <c r="H5" s="42">
        <f>G5/ABS(FEA_Raw!H5)</f>
        <v>0.2373840591102028</v>
      </c>
      <c r="I5" s="42">
        <f>FEA_Raw!J5/FEA_Raw!K5</f>
        <v>3.3111959287531807</v>
      </c>
      <c r="J5" s="42">
        <f>FEA_Raw!L5/FEA_Raw!M5</f>
        <v>3.3327310632383602</v>
      </c>
      <c r="K5" s="42">
        <f>E5/Theoretical_Calc!E5</f>
        <v>1.5063871520987957E-2</v>
      </c>
      <c r="L5" s="42">
        <f>FEA_Raw!L5/K5</f>
        <v>3.1836437222119045</v>
      </c>
      <c r="M5" s="42">
        <f>FEA_Raw!N5/E5</f>
        <v>0.55651933919489016</v>
      </c>
      <c r="N5" s="42">
        <f>2*FEA_Raw!N5/(E5*Inputs_Theory!$B$7)</f>
        <v>0.89043094271182421</v>
      </c>
      <c r="O5" s="42">
        <f>F5/Theoretical_Calc!M5</f>
        <v>0.29823695869127947</v>
      </c>
      <c r="P5" s="42">
        <f>Theoretical_Calc!O5</f>
        <v>0.79727920390355289</v>
      </c>
      <c r="Q5" s="42">
        <f>Theoretical_Calc!J5</f>
        <v>4</v>
      </c>
      <c r="R5" s="42">
        <f>Theoretical_Calc!D5</f>
        <v>5.25</v>
      </c>
      <c r="S5" s="43">
        <f>Theoretical_Calc!I5</f>
        <v>0.5625</v>
      </c>
      <c r="T5" s="42">
        <f>FEA_Raw!J5</f>
        <v>0.39039000000000001</v>
      </c>
      <c r="U5" s="42">
        <f>FEA_Raw!N5</f>
        <v>0.14115</v>
      </c>
      <c r="V5" s="54">
        <f t="shared" si="0"/>
        <v>1</v>
      </c>
      <c r="W5" s="3"/>
      <c r="X5" s="3"/>
      <c r="Y5" s="3"/>
      <c r="Z5" s="3"/>
    </row>
    <row r="6" spans="1:26" ht="14.5">
      <c r="A6" s="9">
        <f>FEA_Raw!A6</f>
        <v>3</v>
      </c>
      <c r="B6" s="42">
        <f>Theoretical_Calc!B6</f>
        <v>0.875</v>
      </c>
      <c r="C6" s="42">
        <f>Theoretical_Calc!C6</f>
        <v>5.25</v>
      </c>
      <c r="D6" s="42" t="str">
        <f>FEA_Raw!B6</f>
        <v>Solved</v>
      </c>
      <c r="E6" s="42">
        <f>ABS(FEA_Raw!R6)</f>
        <v>0.18224000000000001</v>
      </c>
      <c r="F6" s="42">
        <f>E6/Inputs_Theory!$B$7</f>
        <v>0.145792</v>
      </c>
      <c r="G6" s="42">
        <f>MAX(-FEA_Raw!D6,FEA_Raw!E6,-FEA_Raw!F6,FEA_Raw!G6)</f>
        <v>0.31707000000000002</v>
      </c>
      <c r="H6" s="42">
        <f>G6/ABS(FEA_Raw!H6)</f>
        <v>0.25060859943092001</v>
      </c>
      <c r="I6" s="42">
        <f>FEA_Raw!J6/FEA_Raw!K6</f>
        <v>4.6178433528524305</v>
      </c>
      <c r="J6" s="42">
        <f>FEA_Raw!L6/FEA_Raw!M6</f>
        <v>4.6937249159916146</v>
      </c>
      <c r="K6" s="42">
        <f>E6/Theoretical_Calc!E6</f>
        <v>1.0823798233587688E-2</v>
      </c>
      <c r="L6" s="42">
        <f>FEA_Raw!L6/K6</f>
        <v>4.1166694942382227</v>
      </c>
      <c r="M6" s="42">
        <f>FEA_Raw!N6/E6</f>
        <v>0.6642888498683055</v>
      </c>
      <c r="N6" s="42">
        <f>2*FEA_Raw!N6/(E6*Inputs_Theory!$B$7)</f>
        <v>1.0628621597892889</v>
      </c>
      <c r="O6" s="42">
        <f>F6/Theoretical_Calc!M6</f>
        <v>0.32143695551728163</v>
      </c>
      <c r="P6" s="42">
        <f>Theoretical_Calc!O6</f>
        <v>0.23623087523068231</v>
      </c>
      <c r="Q6" s="42">
        <f>Theoretical_Calc!J6</f>
        <v>6</v>
      </c>
      <c r="R6" s="42">
        <f>Theoretical_Calc!D6</f>
        <v>5.25</v>
      </c>
      <c r="S6" s="43">
        <f>Theoretical_Calc!I6</f>
        <v>0.5625</v>
      </c>
      <c r="T6" s="42">
        <f>FEA_Raw!J6</f>
        <v>0.36118</v>
      </c>
      <c r="U6" s="42">
        <f>FEA_Raw!N6</f>
        <v>0.12106</v>
      </c>
      <c r="V6" s="54">
        <f t="shared" si="0"/>
        <v>1</v>
      </c>
      <c r="W6" s="3"/>
      <c r="X6" s="3"/>
      <c r="Y6" s="3"/>
      <c r="Z6" s="3"/>
    </row>
    <row r="7" spans="1:26" ht="14.5">
      <c r="A7" s="9">
        <f>FEA_Raw!A7</f>
        <v>4</v>
      </c>
      <c r="B7" s="42">
        <f>Theoretical_Calc!B7</f>
        <v>1.75</v>
      </c>
      <c r="C7" s="42">
        <f>Theoretical_Calc!C7</f>
        <v>1.75</v>
      </c>
      <c r="D7" s="42" t="str">
        <f>FEA_Raw!B7</f>
        <v>Solved</v>
      </c>
      <c r="E7" s="42">
        <f>ABS(FEA_Raw!R7)</f>
        <v>1.1660999999999999</v>
      </c>
      <c r="F7" s="42">
        <f>E7/Inputs_Theory!$B$7</f>
        <v>0.93287999999999993</v>
      </c>
      <c r="G7" s="42">
        <f>MAX(-FEA_Raw!D7,FEA_Raw!E7,-FEA_Raw!F7,FEA_Raw!G7)</f>
        <v>0.45750000000000002</v>
      </c>
      <c r="H7" s="42">
        <f>G7/ABS(FEA_Raw!H7)</f>
        <v>0.36111768884679141</v>
      </c>
      <c r="I7" s="42">
        <f>FEA_Raw!J7/FEA_Raw!K7</f>
        <v>8.3042845098490083</v>
      </c>
      <c r="J7" s="42">
        <f>FEA_Raw!L7/FEA_Raw!M7</f>
        <v>9.1389815075188476</v>
      </c>
      <c r="K7" s="42">
        <f>E7/Theoretical_Calc!E7</f>
        <v>4.0400670288861851E-2</v>
      </c>
      <c r="L7" s="42">
        <f>FEA_Raw!L7/K7</f>
        <v>1.6893036554102847</v>
      </c>
      <c r="M7" s="42">
        <f>FEA_Raw!N7/E7</f>
        <v>0.44815195952319703</v>
      </c>
      <c r="N7" s="42">
        <f>2*FEA_Raw!N7/(E7*Inputs_Theory!$B$7)</f>
        <v>0.71704313523711516</v>
      </c>
      <c r="O7" s="42">
        <f>F7/Theoretical_Calc!M7</f>
        <v>0.39992949419582763</v>
      </c>
      <c r="P7" s="42">
        <f>Theoretical_Calc!O7</f>
        <v>8.7472918371132646</v>
      </c>
      <c r="Q7" s="42">
        <f>Theoretical_Calc!J7</f>
        <v>1</v>
      </c>
      <c r="R7" s="42">
        <f>Theoretical_Calc!D7</f>
        <v>3.5</v>
      </c>
      <c r="S7" s="43">
        <f>Theoretical_Calc!I7</f>
        <v>0.25</v>
      </c>
      <c r="T7" s="42">
        <f>FEA_Raw!J7</f>
        <v>0.54173000000000004</v>
      </c>
      <c r="U7" s="42">
        <f>FEA_Raw!N7</f>
        <v>0.52259</v>
      </c>
      <c r="V7" s="54">
        <f t="shared" si="0"/>
        <v>1</v>
      </c>
      <c r="W7" s="3"/>
      <c r="X7" s="3"/>
      <c r="Y7" s="3"/>
      <c r="Z7" s="3"/>
    </row>
    <row r="8" spans="1:26" ht="14.5">
      <c r="A8" s="9">
        <f>FEA_Raw!A8</f>
        <v>5</v>
      </c>
      <c r="B8" s="42">
        <f>Theoretical_Calc!B8</f>
        <v>1.75</v>
      </c>
      <c r="C8" s="42">
        <f>Theoretical_Calc!C8</f>
        <v>3.5</v>
      </c>
      <c r="D8" s="42" t="str">
        <f>FEA_Raw!B8</f>
        <v>Solved</v>
      </c>
      <c r="E8" s="42">
        <f>ABS(FEA_Raw!R8)</f>
        <v>0.52946000000000004</v>
      </c>
      <c r="F8" s="42">
        <f>E8/Inputs_Theory!$B$7</f>
        <v>0.42356800000000006</v>
      </c>
      <c r="G8" s="42">
        <f>MAX(-FEA_Raw!D8,FEA_Raw!E8,-FEA_Raw!F8,FEA_Raw!G8)</f>
        <v>0.35807</v>
      </c>
      <c r="H8" s="42">
        <f>G8/ABS(FEA_Raw!H8)</f>
        <v>0.2803554650798622</v>
      </c>
      <c r="I8" s="42">
        <f>FEA_Raw!J8/FEA_Raw!K8</f>
        <v>7.5950220578319758</v>
      </c>
      <c r="J8" s="42">
        <f>FEA_Raw!L8/FEA_Raw!M8</f>
        <v>7.7283262289502268</v>
      </c>
      <c r="K8" s="42">
        <f>E8/Theoretical_Calc!E8</f>
        <v>1.8343657397428006E-2</v>
      </c>
      <c r="L8" s="42">
        <f>FEA_Raw!L8/K8</f>
        <v>2.5994270917143116</v>
      </c>
      <c r="M8" s="42">
        <f>FEA_Raw!N8/E8</f>
        <v>0.59237713897178246</v>
      </c>
      <c r="N8" s="42">
        <f>2*FEA_Raw!N8/(E8*Inputs_Theory!$B$7)</f>
        <v>0.94780342235485193</v>
      </c>
      <c r="O8" s="42">
        <f>F8/Theoretical_Calc!M8</f>
        <v>0.36317068861490942</v>
      </c>
      <c r="P8" s="42">
        <f>Theoretical_Calc!O8</f>
        <v>1.0934114796391581</v>
      </c>
      <c r="Q8" s="42">
        <f>Theoretical_Calc!J8</f>
        <v>2</v>
      </c>
      <c r="R8" s="42">
        <f>Theoretical_Calc!D8</f>
        <v>3.5</v>
      </c>
      <c r="S8" s="43">
        <f>Theoretical_Calc!I8</f>
        <v>0.25</v>
      </c>
      <c r="T8" s="42">
        <f>FEA_Raw!J8</f>
        <v>0.39424999999999999</v>
      </c>
      <c r="U8" s="42">
        <f>FEA_Raw!N8</f>
        <v>0.31363999999999997</v>
      </c>
      <c r="V8" s="54">
        <f t="shared" si="0"/>
        <v>1</v>
      </c>
      <c r="W8" s="3"/>
      <c r="X8" s="3"/>
      <c r="Y8" s="3"/>
      <c r="Z8" s="3"/>
    </row>
    <row r="9" spans="1:26" ht="14.5">
      <c r="A9" s="9">
        <f>FEA_Raw!A9</f>
        <v>6</v>
      </c>
      <c r="B9" s="42">
        <f>Theoretical_Calc!B9</f>
        <v>1.75</v>
      </c>
      <c r="C9" s="42">
        <f>Theoretical_Calc!C9</f>
        <v>5.25</v>
      </c>
      <c r="D9" s="42" t="str">
        <f>FEA_Raw!B9</f>
        <v>Solved</v>
      </c>
      <c r="E9" s="42">
        <f>ABS(FEA_Raw!R9)</f>
        <v>0.38815</v>
      </c>
      <c r="F9" s="42">
        <f>E9/Inputs_Theory!$B$7</f>
        <v>0.31052000000000002</v>
      </c>
      <c r="G9" s="42">
        <f>MAX(-FEA_Raw!D9,FEA_Raw!E9,-FEA_Raw!F9,FEA_Raw!G9)</f>
        <v>0.32022</v>
      </c>
      <c r="H9" s="42">
        <f>G9/ABS(FEA_Raw!H9)</f>
        <v>0.25617600000000001</v>
      </c>
      <c r="I9" s="42">
        <f>FEA_Raw!J9/FEA_Raw!K9</f>
        <v>10.323708436038029</v>
      </c>
      <c r="J9" s="42">
        <f>FEA_Raw!L9/FEA_Raw!M9</f>
        <v>10.252617964871291</v>
      </c>
      <c r="K9" s="42">
        <f>E9/Theoretical_Calc!E9</f>
        <v>1.3447834810583766E-2</v>
      </c>
      <c r="L9" s="42">
        <f>FEA_Raw!L9/K9</f>
        <v>3.6547890937296885</v>
      </c>
      <c r="M9" s="42">
        <f>FEA_Raw!N9/E9</f>
        <v>0.6378461934819013</v>
      </c>
      <c r="N9" s="42">
        <f>2*FEA_Raw!N9/(E9*Inputs_Theory!$B$7)</f>
        <v>1.0205539095710421</v>
      </c>
      <c r="O9" s="42">
        <f>F9/Theoretical_Calc!M9</f>
        <v>0.39936360476488425</v>
      </c>
      <c r="P9" s="42">
        <f>Theoretical_Calc!O9</f>
        <v>0.32397377174493575</v>
      </c>
      <c r="Q9" s="42">
        <f>Theoretical_Calc!J9</f>
        <v>3</v>
      </c>
      <c r="R9" s="42">
        <f>Theoretical_Calc!D9</f>
        <v>3.5</v>
      </c>
      <c r="S9" s="43">
        <f>Theoretical_Calc!I9</f>
        <v>0.25</v>
      </c>
      <c r="T9" s="42">
        <f>FEA_Raw!J9</f>
        <v>0.41044999999999998</v>
      </c>
      <c r="U9" s="42">
        <f>FEA_Raw!N9</f>
        <v>0.24757999999999999</v>
      </c>
      <c r="V9" s="54">
        <f t="shared" si="0"/>
        <v>1</v>
      </c>
      <c r="W9" s="3"/>
      <c r="X9" s="3"/>
      <c r="Y9" s="3"/>
      <c r="Z9" s="3"/>
    </row>
    <row r="10" spans="1:26" ht="14.5">
      <c r="A10" s="9">
        <f>FEA_Raw!A10</f>
        <v>7</v>
      </c>
      <c r="B10" s="42">
        <f>Theoretical_Calc!B10</f>
        <v>2.625</v>
      </c>
      <c r="C10" s="42">
        <f>Theoretical_Calc!C10</f>
        <v>1.75</v>
      </c>
      <c r="D10" s="42" t="str">
        <f>FEA_Raw!B10</f>
        <v>Failed</v>
      </c>
      <c r="E10" s="42">
        <f>ABS(FEA_Raw!R10)</f>
        <v>1.621</v>
      </c>
      <c r="F10" s="42">
        <f>E10/Inputs_Theory!$B$7</f>
        <v>1.2968</v>
      </c>
      <c r="G10" s="42">
        <f>MAX(-FEA_Raw!D10,FEA_Raw!E10,-FEA_Raw!F10,FEA_Raw!G10)</f>
        <v>0.41506999999999999</v>
      </c>
      <c r="H10" s="42">
        <f>G10/ABS(FEA_Raw!H10)</f>
        <v>0.33293494826341541</v>
      </c>
      <c r="I10" s="42">
        <f>FEA_Raw!J10/FEA_Raw!K10</f>
        <v>6.4588000995767993</v>
      </c>
      <c r="J10" s="42">
        <f>FEA_Raw!L10/FEA_Raw!M10</f>
        <v>8.764829370697651</v>
      </c>
      <c r="K10" s="42">
        <f>E10/Theoretical_Calc!E10</f>
        <v>4.4928899091498206E-2</v>
      </c>
      <c r="L10" s="42">
        <f>FEA_Raw!L10/K10</f>
        <v>3.9958691094207568</v>
      </c>
      <c r="M10" s="42">
        <f>FEA_Raw!N10/E10</f>
        <v>0.41387415175817394</v>
      </c>
      <c r="N10" s="42">
        <f>2*FEA_Raw!N10/(E10*Inputs_Theory!$B$7)</f>
        <v>0.66219864281307828</v>
      </c>
      <c r="O10" s="42">
        <f>F10/Theoretical_Calc!M10</f>
        <v>0.44475479639237575</v>
      </c>
      <c r="P10" s="42">
        <f>Theoretical_Calc!O10</f>
        <v>9.2939975769328438</v>
      </c>
      <c r="Q10" s="42">
        <f>Theoretical_Calc!J10</f>
        <v>0.66666666666666663</v>
      </c>
      <c r="R10" s="42">
        <f>Theoretical_Calc!D10</f>
        <v>1.75</v>
      </c>
      <c r="S10" s="43">
        <f>Theoretical_Calc!I10</f>
        <v>6.25E-2</v>
      </c>
      <c r="T10" s="42">
        <f>FEA_Raw!J10</f>
        <v>1.0378000000000001</v>
      </c>
      <c r="U10" s="42">
        <f>FEA_Raw!N10</f>
        <v>0.67088999999999999</v>
      </c>
      <c r="V10" s="54">
        <f t="shared" si="0"/>
        <v>0</v>
      </c>
      <c r="W10" s="3"/>
      <c r="X10" s="3"/>
      <c r="Y10" s="3"/>
      <c r="Z10" s="3"/>
    </row>
    <row r="11" spans="1:26" ht="14.5">
      <c r="A11" s="9">
        <f>FEA_Raw!A11</f>
        <v>8</v>
      </c>
      <c r="B11" s="42">
        <f>Theoretical_Calc!B11</f>
        <v>2.625</v>
      </c>
      <c r="C11" s="42">
        <f>Theoretical_Calc!C11</f>
        <v>3.5</v>
      </c>
      <c r="D11" s="42" t="str">
        <f>FEA_Raw!B11</f>
        <v>Solved</v>
      </c>
      <c r="E11" s="42">
        <f>ABS(FEA_Raw!R11)</f>
        <v>0.80257999999999996</v>
      </c>
      <c r="F11" s="42">
        <f>E11/Inputs_Theory!$B$7</f>
        <v>0.64206399999999997</v>
      </c>
      <c r="G11" s="42">
        <f>MAX(-FEA_Raw!D11,FEA_Raw!E11,-FEA_Raw!F11,FEA_Raw!G11)</f>
        <v>0.34944999999999998</v>
      </c>
      <c r="H11" s="42">
        <f>G11/ABS(FEA_Raw!H11)</f>
        <v>0.27670441048380712</v>
      </c>
      <c r="I11" s="42">
        <f>FEA_Raw!J11/FEA_Raw!K11</f>
        <v>6.9910567951580225</v>
      </c>
      <c r="J11" s="42">
        <f>FEA_Raw!L11/FEA_Raw!M11</f>
        <v>7.069696130831967</v>
      </c>
      <c r="K11" s="42">
        <f>E11/Theoretical_Calc!E11</f>
        <v>2.2244932654444556E-2</v>
      </c>
      <c r="L11" s="42">
        <f>FEA_Raw!L11/K11</f>
        <v>2.9849494728289603</v>
      </c>
      <c r="M11" s="42">
        <f>FEA_Raw!N11/E11</f>
        <v>0.48760248199556433</v>
      </c>
      <c r="N11" s="42">
        <f>2*FEA_Raw!N11/(E11*Inputs_Theory!$B$7)</f>
        <v>0.78016397119290293</v>
      </c>
      <c r="O11" s="42">
        <f>F11/Theoretical_Calc!M11</f>
        <v>0.44040876556273034</v>
      </c>
      <c r="P11" s="42">
        <f>Theoretical_Calc!O11</f>
        <v>1.1617496971166055</v>
      </c>
      <c r="Q11" s="42">
        <f>Theoretical_Calc!J11</f>
        <v>1.3333333333333333</v>
      </c>
      <c r="R11" s="42">
        <f>Theoretical_Calc!D11</f>
        <v>1.75</v>
      </c>
      <c r="S11" s="43">
        <f>Theoretical_Calc!I11</f>
        <v>6.25E-2</v>
      </c>
      <c r="T11" s="42">
        <f>FEA_Raw!J11</f>
        <v>0.54173000000000004</v>
      </c>
      <c r="U11" s="42">
        <f>FEA_Raw!N11</f>
        <v>0.39134000000000002</v>
      </c>
      <c r="V11" s="54">
        <f t="shared" si="0"/>
        <v>1</v>
      </c>
      <c r="W11" s="3"/>
      <c r="X11" s="3"/>
      <c r="Y11" s="3"/>
      <c r="Z11" s="3"/>
    </row>
    <row r="12" spans="1:26" ht="14.5">
      <c r="A12" s="44">
        <f>FEA_Raw!A12</f>
        <v>9</v>
      </c>
      <c r="B12" s="45">
        <f>Theoretical_Calc!B12</f>
        <v>2.625</v>
      </c>
      <c r="C12" s="45">
        <f>Theoretical_Calc!C12</f>
        <v>5.25</v>
      </c>
      <c r="D12" s="45" t="str">
        <f>FEA_Raw!B12</f>
        <v>Solved</v>
      </c>
      <c r="E12" s="45">
        <f>ABS(FEA_Raw!R12)</f>
        <v>0.58160999999999996</v>
      </c>
      <c r="F12" s="45">
        <f>E12/Inputs_Theory!$B$7</f>
        <v>0.46528799999999998</v>
      </c>
      <c r="G12" s="45">
        <f>MAX(-FEA_Raw!D12,FEA_Raw!E12,-FEA_Raw!F12,FEA_Raw!G12)</f>
        <v>0.28341</v>
      </c>
      <c r="H12" s="45">
        <f>G12/ABS(FEA_Raw!H12)</f>
        <v>0.21947649655386048</v>
      </c>
      <c r="I12" s="45">
        <f>FEA_Raw!J12/FEA_Raw!K12</f>
        <v>7.5673326060275468</v>
      </c>
      <c r="J12" s="45">
        <f>FEA_Raw!L12/FEA_Raw!M12</f>
        <v>7.3983976491461521</v>
      </c>
      <c r="K12" s="45">
        <f>E12/Theoretical_Calc!E12</f>
        <v>1.612035595348937E-2</v>
      </c>
      <c r="L12" s="45">
        <f>FEA_Raw!L12/K12</f>
        <v>3.3110311058886133</v>
      </c>
      <c r="M12" s="45">
        <f>FEA_Raw!N12/E12</f>
        <v>0.5624903285706917</v>
      </c>
      <c r="N12" s="45">
        <f>2*FEA_Raw!N12/(E12*Inputs_Theory!$B$7)</f>
        <v>0.89998452571310672</v>
      </c>
      <c r="O12" s="45">
        <f>F12/Theoretical_Calc!M12</f>
        <v>0.47873011189963538</v>
      </c>
      <c r="P12" s="45">
        <f>Theoretical_Calc!O12</f>
        <v>0.34422213247899425</v>
      </c>
      <c r="Q12" s="45">
        <f>Theoretical_Calc!J12</f>
        <v>2</v>
      </c>
      <c r="R12" s="45">
        <f>Theoretical_Calc!D12</f>
        <v>1.75</v>
      </c>
      <c r="S12" s="46">
        <f>Theoretical_Calc!I12</f>
        <v>6.25E-2</v>
      </c>
      <c r="T12" s="45">
        <f>FEA_Raw!J12</f>
        <v>0.44392999999999999</v>
      </c>
      <c r="U12" s="45">
        <f>FEA_Raw!N12</f>
        <v>0.32715</v>
      </c>
      <c r="V12" s="55">
        <f t="shared" si="0"/>
        <v>1</v>
      </c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V2"/>
  </mergeCells>
  <conditionalFormatting sqref="H4:H12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I4:I12">
    <cfRule type="dataBar" priority="2">
      <dataBar>
        <cfvo type="min"/>
        <cfvo type="max"/>
        <color rgb="FF2F75B5"/>
      </dataBar>
    </cfRule>
    <cfRule type="dataBar" priority="3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{624652C8-3A6B-017E-8FE7-1F470135A258}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4652C8-3A6B-017E-8FE7-1F470135A258}">
            <x14:dataBar>
              <x14:cfvo type="min"/>
              <x14:cfvo type="max"/>
              <x14:negativeFillColor auto="1"/>
              <x14:axisColor auto="1"/>
            </x14:dataBar>
          </x14:cfRule>
          <xm:sqref>I4:I12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tabSelected="1" topLeftCell="A2" zoomScale="72" workbookViewId="0">
      <selection activeCell="M15" sqref="M15"/>
    </sheetView>
  </sheetViews>
  <sheetFormatPr defaultRowHeight="14"/>
  <cols>
    <col min="1" max="1" width="7" customWidth="1"/>
    <col min="2" max="3" width="10" customWidth="1"/>
    <col min="4" max="8" width="12" customWidth="1"/>
    <col min="9" max="9" width="18" customWidth="1"/>
    <col min="10" max="10" width="14" customWidth="1"/>
    <col min="11" max="12" width="15" customWidth="1"/>
    <col min="13" max="14" width="13" customWidth="1"/>
    <col min="15" max="15" width="25" customWidth="1"/>
    <col min="16" max="16" width="45" customWidth="1"/>
  </cols>
  <sheetData>
    <row r="1" spans="1:26" ht="16" customHeight="1">
      <c r="A1" s="91" t="s">
        <v>189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">
      <c r="A3" s="2" t="s">
        <v>9</v>
      </c>
      <c r="B3" s="2" t="s">
        <v>173</v>
      </c>
      <c r="C3" s="2" t="s">
        <v>174</v>
      </c>
      <c r="D3" s="2" t="s">
        <v>154</v>
      </c>
      <c r="E3" s="2" t="s">
        <v>190</v>
      </c>
      <c r="F3" s="2" t="s">
        <v>191</v>
      </c>
      <c r="G3" s="2" t="s">
        <v>192</v>
      </c>
      <c r="H3" s="2" t="s">
        <v>193</v>
      </c>
      <c r="I3" s="2" t="s">
        <v>194</v>
      </c>
      <c r="J3" s="2" t="s">
        <v>15</v>
      </c>
      <c r="K3" s="2" t="s">
        <v>195</v>
      </c>
      <c r="L3" s="2" t="s">
        <v>196</v>
      </c>
      <c r="M3" s="2" t="s">
        <v>197</v>
      </c>
      <c r="N3" s="2" t="s">
        <v>198</v>
      </c>
      <c r="O3" s="2" t="s">
        <v>199</v>
      </c>
      <c r="P3" s="2" t="s">
        <v>200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" customHeight="1">
      <c r="A4" s="4">
        <f>Derived_Metrics!A4</f>
        <v>1</v>
      </c>
      <c r="B4" s="5">
        <f>Derived_Metrics!B4</f>
        <v>0.875</v>
      </c>
      <c r="C4" s="5">
        <f>Derived_Metrics!C4</f>
        <v>1.75</v>
      </c>
      <c r="D4" s="5" t="str">
        <f>Derived_Metrics!D4</f>
        <v>Solved</v>
      </c>
      <c r="E4" s="24">
        <f>IF(Derived_Metrics!V4=0,0,0.45*(IF(Derived_Metrics!T4&lt;=Inputs_Theory!$L$4,0,IF(Derived_Metrics!T4&lt;Inputs_Theory!$L$5,(Derived_Metrics!T4-Inputs_Theory!$L$4)/(Inputs_Theory!$L$5-Inputs_Theory!$L$4),IF(Derived_Metrics!T4&lt;=Inputs_Theory!$L$6,1,IF(Derived_Metrics!T4&lt;Inputs_Theory!$L$7,(Inputs_Theory!$L$7-Derived_Metrics!T4)/(Inputs_Theory!$L$7-Inputs_Theory!$L$6),0)))))+0.35*(IF(Derived_Metrics!U4&lt;=Inputs_Theory!$L$8,0,IF(Derived_Metrics!U4&lt;Inputs_Theory!$L$9,(Derived_Metrics!U4-Inputs_Theory!$L$8)/(Inputs_Theory!$L$9-Inputs_Theory!$L$8),IF(Derived_Metrics!U4&lt;=Inputs_Theory!$L$10,1,IF(Derived_Metrics!U4&lt;Inputs_Theory!$L$11,(Inputs_Theory!$L$11-Derived_Metrics!U4)/(Inputs_Theory!$L$11-Inputs_Theory!$L$10),0)))))+0.2*(MAX(0,MIN(1,(Derived_Metrics!L4-Inputs_Theory!$L$12)/(Inputs_Theory!$L$13-Inputs_Theory!$L$12)))))</f>
        <v>0.79339736485996859</v>
      </c>
      <c r="F4" s="24">
        <f>IF(Derived_Metrics!V4=0,0,IF(Derived_Metrics!F4&lt;=Inputs_Theory!$L$14,0,IF(Derived_Metrics!F4&lt;Inputs_Theory!$L$15,(Derived_Metrics!F4-Inputs_Theory!$L$14)/(Inputs_Theory!$L$15-Inputs_Theory!$L$14),IF(Derived_Metrics!F4&lt;=Inputs_Theory!$L$16,1,IF(Derived_Metrics!F4&lt;Inputs_Theory!$L$17,(Inputs_Theory!$L$17-Derived_Metrics!F4)/(Inputs_Theory!$L$17-Inputs_Theory!$L$16),0)))))</f>
        <v>1</v>
      </c>
      <c r="G4" s="24">
        <f>IF(Derived_Metrics!V4=0,0,0.5*(MAX(0,MIN(1,(Derived_Metrics!I4-Inputs_Theory!$L$18)/(Inputs_Theory!$L$19-Inputs_Theory!$L$18))))+0.5*(MAX(0,MIN(1,(Inputs_Theory!$L$21-Derived_Metrics!H4)/(Inputs_Theory!$L$21-Inputs_Theory!$L$20)))))</f>
        <v>0.82127095062447419</v>
      </c>
      <c r="H4" s="24">
        <f>IF(Derived_Metrics!V4=0,0,0.35*Derived_Metrics!V4+0.25*MIN(1,Derived_Metrics!P4/Derived_Metrics!$P$8)+0.25*(MAX(0,MIN(1,(Inputs_Theory!$L$23-Derived_Metrics!T4)/(Inputs_Theory!$L$23-Inputs_Theory!$L$22))))+0.15*(MAX(0,MIN(1,(Inputs_Theory!$L$25-Derived_Metrics!Q4)/(Inputs_Theory!$L$25-Inputs_Theory!$L$24)))))</f>
        <v>1</v>
      </c>
      <c r="I4" s="24">
        <f>IF(Derived_Metrics!V4=0,0,0.5*(IF(Derived_Metrics!S4&lt;=Inputs_Theory!$L$26,0,IF(Derived_Metrics!S4&lt;Inputs_Theory!$L$27,(Derived_Metrics!S4-Inputs_Theory!$L$26)/(Inputs_Theory!$L$27-Inputs_Theory!$L$26),IF(Derived_Metrics!S4&lt;=Inputs_Theory!$L$28,1,IF(Derived_Metrics!S4&lt;Inputs_Theory!$L$29,(Inputs_Theory!$L$29-Derived_Metrics!S4)/(Inputs_Theory!$L$29-Inputs_Theory!$L$28),0)))))+0.3*(IF(B4=0.875,0.6,IF(B4=1.75,1,0.8)))+0.2*(MAX(0,MIN(1,(Derived_Metrics!R4-Inputs_Theory!$L$30)/(Inputs_Theory!$L$31-Inputs_Theory!$L$30)))))</f>
        <v>0.44944444444444442</v>
      </c>
      <c r="J4" s="24">
        <f>IF(Derived_Metrics!V4=0,0,0.3*E4+0.2*F4+0.2*G4+0.15*H4+0.15*I4)</f>
        <v>0.8196900662495521</v>
      </c>
      <c r="K4" s="24">
        <f>IF(Derived_Metrics!V4=0,0,0.4*E4+0.25*F4+0.2*G4+0.05*H4+0.1*I4)</f>
        <v>0.82655758051332673</v>
      </c>
      <c r="L4" s="24">
        <f>IF(Derived_Metrics!V4=0,0,0.2*E4+0.1*F4+0.15*G4+0.3*H4+0.25*I4)</f>
        <v>0.79423122667677593</v>
      </c>
      <c r="M4" s="56">
        <f>_xlfn.RANK.EQ(J4,$J$4:$J$12,0)</f>
        <v>4</v>
      </c>
      <c r="N4" s="56">
        <f>_xlfn.SINGLE(_xlfn.RANK.EQ(L4,$L$4:$L$12,0))</f>
        <v>4</v>
      </c>
      <c r="O4" s="6" t="s">
        <v>201</v>
      </c>
      <c r="P4" s="8" t="s">
        <v>202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customHeight="1">
      <c r="A5" s="9">
        <f>Derived_Metrics!A5</f>
        <v>2</v>
      </c>
      <c r="B5" s="3">
        <f>Derived_Metrics!B5</f>
        <v>0.875</v>
      </c>
      <c r="C5" s="3">
        <f>Derived_Metrics!C5</f>
        <v>3.5</v>
      </c>
      <c r="D5" s="3" t="str">
        <f>Derived_Metrics!D5</f>
        <v>Solved</v>
      </c>
      <c r="E5" s="29">
        <f>IF(Derived_Metrics!V5=0,0,0.45*(IF(Derived_Metrics!T5&lt;=Inputs_Theory!$L$4,0,IF(Derived_Metrics!T5&lt;Inputs_Theory!$L$5,(Derived_Metrics!T5-Inputs_Theory!$L$4)/(Inputs_Theory!$L$5-Inputs_Theory!$L$4),IF(Derived_Metrics!T5&lt;=Inputs_Theory!$L$6,1,IF(Derived_Metrics!T5&lt;Inputs_Theory!$L$7,(Inputs_Theory!$L$7-Derived_Metrics!T5)/(Inputs_Theory!$L$7-Inputs_Theory!$L$6),0)))))+0.35*(IF(Derived_Metrics!U5&lt;=Inputs_Theory!$L$8,0,IF(Derived_Metrics!U5&lt;Inputs_Theory!$L$9,(Derived_Metrics!U5-Inputs_Theory!$L$8)/(Inputs_Theory!$L$9-Inputs_Theory!$L$8),IF(Derived_Metrics!U5&lt;=Inputs_Theory!$L$10,1,IF(Derived_Metrics!U5&lt;Inputs_Theory!$L$11,(Inputs_Theory!$L$11-Derived_Metrics!U5)/(Inputs_Theory!$L$11-Inputs_Theory!$L$10),0)))))+0.2*(MAX(0,MIN(1,(Derived_Metrics!L5-Inputs_Theory!$L$12)/(Inputs_Theory!$L$13-Inputs_Theory!$L$12)))))</f>
        <v>0.83104770555452379</v>
      </c>
      <c r="F5" s="29">
        <f>IF(Derived_Metrics!V5=0,0,IF(Derived_Metrics!F5&lt;=Inputs_Theory!$L$14,0,IF(Derived_Metrics!F5&lt;Inputs_Theory!$L$15,(Derived_Metrics!F5-Inputs_Theory!$L$14)/(Inputs_Theory!$L$15-Inputs_Theory!$L$14),IF(Derived_Metrics!F5&lt;=Inputs_Theory!$L$16,1,IF(Derived_Metrics!F5&lt;Inputs_Theory!$L$17,(Inputs_Theory!$L$17-Derived_Metrics!F5)/(Inputs_Theory!$L$17-Inputs_Theory!$L$16),0)))))</f>
        <v>1</v>
      </c>
      <c r="G5" s="29">
        <f>IF(Derived_Metrics!V5=0,0,0.5*(MAX(0,MIN(1,(Derived_Metrics!I5-Inputs_Theory!$L$18)/(Inputs_Theory!$L$19-Inputs_Theory!$L$18))))+0.5*(MAX(0,MIN(1,(Inputs_Theory!$L$21-Derived_Metrics!H5)/(Inputs_Theory!$L$21-Inputs_Theory!$L$20)))))</f>
        <v>0.53111959287531807</v>
      </c>
      <c r="H5" s="29">
        <f>IF(Derived_Metrics!V5=0,0,0.35*Derived_Metrics!V5+0.25*MIN(1,Derived_Metrics!P5/Derived_Metrics!$P$8)+0.25*(MAX(0,MIN(1,(Inputs_Theory!$L$23-Derived_Metrics!T5)/(Inputs_Theory!$L$23-Inputs_Theory!$L$22))))+0.15*(MAX(0,MIN(1,(Inputs_Theory!$L$25-Derived_Metrics!Q5)/(Inputs_Theory!$L$25-Inputs_Theory!$L$24)))))</f>
        <v>0.88229166666666659</v>
      </c>
      <c r="I5" s="29">
        <f>IF(Derived_Metrics!V5=0,0,0.5*(IF(Derived_Metrics!S5&lt;=Inputs_Theory!$L$26,0,IF(Derived_Metrics!S5&lt;Inputs_Theory!$L$27,(Derived_Metrics!S5-Inputs_Theory!$L$26)/(Inputs_Theory!$L$27-Inputs_Theory!$L$26),IF(Derived_Metrics!S5&lt;=Inputs_Theory!$L$28,1,IF(Derived_Metrics!S5&lt;Inputs_Theory!$L$29,(Inputs_Theory!$L$29-Derived_Metrics!S5)/(Inputs_Theory!$L$29-Inputs_Theory!$L$28),0)))))+0.3*(IF(B5=0.875,0.6,IF(B5=1.75,1,0.8)))+0.2*(MAX(0,MIN(1,(Derived_Metrics!R5-Inputs_Theory!$L$30)/(Inputs_Theory!$L$31-Inputs_Theory!$L$30)))))</f>
        <v>0.44944444444444442</v>
      </c>
      <c r="J5" s="29">
        <f>IF(Derived_Metrics!V5=0,0,0.3*E5+0.2*F5+0.2*G5+0.15*H5+0.15*I5)</f>
        <v>0.75529864690808746</v>
      </c>
      <c r="K5" s="29">
        <f>IF(Derived_Metrics!V5=0,0,0.4*E5+0.25*F5+0.2*G5+0.05*H5+0.1*I5)</f>
        <v>0.77770202857465098</v>
      </c>
      <c r="L5" s="29">
        <f>IF(Derived_Metrics!V5=0,0,0.2*E5+0.1*F5+0.15*G5+0.3*H5+0.25*I5)</f>
        <v>0.72292609115331352</v>
      </c>
      <c r="M5" s="57">
        <f>_xlfn.RANK.EQ(J5,$J$4:$J$12,0)</f>
        <v>6</v>
      </c>
      <c r="N5" s="57">
        <f>_xlfn.SINGLE(_xlfn.RANK.EQ(L5,$L$4:$L$12,0))</f>
        <v>7</v>
      </c>
      <c r="O5" s="10" t="s">
        <v>201</v>
      </c>
      <c r="P5" s="12" t="s">
        <v>203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" customHeight="1">
      <c r="A6" s="9">
        <f>Derived_Metrics!A6</f>
        <v>3</v>
      </c>
      <c r="B6" s="3">
        <f>Derived_Metrics!B6</f>
        <v>0.875</v>
      </c>
      <c r="C6" s="3">
        <f>Derived_Metrics!C6</f>
        <v>5.25</v>
      </c>
      <c r="D6" s="3" t="str">
        <f>Derived_Metrics!D6</f>
        <v>Solved</v>
      </c>
      <c r="E6" s="29">
        <f>IF(Derived_Metrics!V6=0,0,0.45*(IF(Derived_Metrics!T6&lt;=Inputs_Theory!$L$4,0,IF(Derived_Metrics!T6&lt;Inputs_Theory!$L$5,(Derived_Metrics!T6-Inputs_Theory!$L$4)/(Inputs_Theory!$L$5-Inputs_Theory!$L$4),IF(Derived_Metrics!T6&lt;=Inputs_Theory!$L$6,1,IF(Derived_Metrics!T6&lt;Inputs_Theory!$L$7,(Inputs_Theory!$L$7-Derived_Metrics!T6)/(Inputs_Theory!$L$7-Inputs_Theory!$L$6),0)))))+0.35*(IF(Derived_Metrics!U6&lt;=Inputs_Theory!$L$8,0,IF(Derived_Metrics!U6&lt;Inputs_Theory!$L$9,(Derived_Metrics!U6-Inputs_Theory!$L$8)/(Inputs_Theory!$L$9-Inputs_Theory!$L$8),IF(Derived_Metrics!U6&lt;=Inputs_Theory!$L$10,1,IF(Derived_Metrics!U6&lt;Inputs_Theory!$L$11,(Inputs_Theory!$L$11-Derived_Metrics!U6)/(Inputs_Theory!$L$11-Inputs_Theory!$L$10),0)))))+0.2*(MAX(0,MIN(1,(Derived_Metrics!L6-Inputs_Theory!$L$12)/(Inputs_Theory!$L$13-Inputs_Theory!$L$12)))))</f>
        <v>0.81580666666666657</v>
      </c>
      <c r="F6" s="29">
        <f>IF(Derived_Metrics!V6=0,0,IF(Derived_Metrics!F6&lt;=Inputs_Theory!$L$14,0,IF(Derived_Metrics!F6&lt;Inputs_Theory!$L$15,(Derived_Metrics!F6-Inputs_Theory!$L$14)/(Inputs_Theory!$L$15-Inputs_Theory!$L$14),IF(Derived_Metrics!F6&lt;=Inputs_Theory!$L$16,1,IF(Derived_Metrics!F6&lt;Inputs_Theory!$L$17,(Inputs_Theory!$L$17-Derived_Metrics!F6)/(Inputs_Theory!$L$17-Inputs_Theory!$L$16),0)))))</f>
        <v>0.54826666666666668</v>
      </c>
      <c r="G6" s="29">
        <f>IF(Derived_Metrics!V6=0,0,0.5*(MAX(0,MIN(1,(Derived_Metrics!I6-Inputs_Theory!$L$18)/(Inputs_Theory!$L$19-Inputs_Theory!$L$18))))+0.5*(MAX(0,MIN(1,(Inputs_Theory!$L$21-Derived_Metrics!H6)/(Inputs_Theory!$L$21-Inputs_Theory!$L$20)))))</f>
        <v>0.62389648017481436</v>
      </c>
      <c r="H6" s="29">
        <f>IF(Derived_Metrics!V6=0,0,0.35*Derived_Metrics!V6+0.25*MIN(1,Derived_Metrics!P6/Derived_Metrics!$P$8)+0.25*(MAX(0,MIN(1,(Inputs_Theory!$L$23-Derived_Metrics!T6)/(Inputs_Theory!$L$23-Inputs_Theory!$L$22))))+0.15*(MAX(0,MIN(1,(Inputs_Theory!$L$25-Derived_Metrics!Q6)/(Inputs_Theory!$L$25-Inputs_Theory!$L$24)))))</f>
        <v>0.65401234567901234</v>
      </c>
      <c r="I6" s="29">
        <f>IF(Derived_Metrics!V6=0,0,0.5*(IF(Derived_Metrics!S6&lt;=Inputs_Theory!$L$26,0,IF(Derived_Metrics!S6&lt;Inputs_Theory!$L$27,(Derived_Metrics!S6-Inputs_Theory!$L$26)/(Inputs_Theory!$L$27-Inputs_Theory!$L$26),IF(Derived_Metrics!S6&lt;=Inputs_Theory!$L$28,1,IF(Derived_Metrics!S6&lt;Inputs_Theory!$L$29,(Inputs_Theory!$L$29-Derived_Metrics!S6)/(Inputs_Theory!$L$29-Inputs_Theory!$L$28),0)))))+0.3*(IF(B6=0.875,0.6,IF(B6=1.75,1,0.8)))+0.2*(MAX(0,MIN(1,(Derived_Metrics!R6-Inputs_Theory!$L$30)/(Inputs_Theory!$L$31-Inputs_Theory!$L$30)))))</f>
        <v>0.44944444444444442</v>
      </c>
      <c r="J6" s="29">
        <f>IF(Derived_Metrics!V6=0,0,0.3*E6+0.2*F6+0.2*G6+0.15*H6+0.15*I6)</f>
        <v>0.64469314788681464</v>
      </c>
      <c r="K6" s="29">
        <f>IF(Derived_Metrics!V6=0,0,0.4*E6+0.25*F6+0.2*G6+0.05*H6+0.1*I6)</f>
        <v>0.6658136910966912</v>
      </c>
      <c r="L6" s="29">
        <f>IF(Derived_Metrics!V6=0,0,0.2*E6+0.1*F6+0.15*G6+0.3*H6+0.25*I6)</f>
        <v>0.62013728684103697</v>
      </c>
      <c r="M6" s="57">
        <v>8</v>
      </c>
      <c r="N6" s="57">
        <f>_xlfn.SINGLE(_xlfn.RANK.EQ(L6,$L$4:$L$12,0))</f>
        <v>8</v>
      </c>
      <c r="O6" s="10" t="s">
        <v>201</v>
      </c>
      <c r="P6" s="12" t="s">
        <v>204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" customHeight="1">
      <c r="A7" s="9">
        <f>Derived_Metrics!A7</f>
        <v>4</v>
      </c>
      <c r="B7" s="3">
        <f>Derived_Metrics!B7</f>
        <v>1.75</v>
      </c>
      <c r="C7" s="3">
        <f>Derived_Metrics!C7</f>
        <v>1.75</v>
      </c>
      <c r="D7" s="3" t="str">
        <f>Derived_Metrics!D7</f>
        <v>Solved</v>
      </c>
      <c r="E7" s="29">
        <f>IF(Derived_Metrics!V7=0,0,0.45*(IF(Derived_Metrics!T7&lt;=Inputs_Theory!$L$4,0,IF(Derived_Metrics!T7&lt;Inputs_Theory!$L$5,(Derived_Metrics!T7-Inputs_Theory!$L$4)/(Inputs_Theory!$L$5-Inputs_Theory!$L$4),IF(Derived_Metrics!T7&lt;=Inputs_Theory!$L$6,1,IF(Derived_Metrics!T7&lt;Inputs_Theory!$L$7,(Inputs_Theory!$L$7-Derived_Metrics!T7)/(Inputs_Theory!$L$7-Inputs_Theory!$L$6),0)))))+0.35*(IF(Derived_Metrics!U7&lt;=Inputs_Theory!$L$8,0,IF(Derived_Metrics!U7&lt;Inputs_Theory!$L$9,(Derived_Metrics!U7-Inputs_Theory!$L$8)/(Inputs_Theory!$L$9-Inputs_Theory!$L$8),IF(Derived_Metrics!U7&lt;=Inputs_Theory!$L$10,1,IF(Derived_Metrics!U7&lt;Inputs_Theory!$L$11,(Inputs_Theory!$L$11-Derived_Metrics!U7)/(Inputs_Theory!$L$11-Inputs_Theory!$L$10),0)))))+0.2*(MAX(0,MIN(1,(Derived_Metrics!L7-Inputs_Theory!$L$12)/(Inputs_Theory!$L$13-Inputs_Theory!$L$12)))))</f>
        <v>0.67590869887436178</v>
      </c>
      <c r="F7" s="29">
        <f>IF(Derived_Metrics!V7=0,0,IF(Derived_Metrics!F7&lt;=Inputs_Theory!$L$14,0,IF(Derived_Metrics!F7&lt;Inputs_Theory!$L$15,(Derived_Metrics!F7-Inputs_Theory!$L$14)/(Inputs_Theory!$L$15-Inputs_Theory!$L$14),IF(Derived_Metrics!F7&lt;=Inputs_Theory!$L$16,1,IF(Derived_Metrics!F7&lt;Inputs_Theory!$L$17,(Inputs_Theory!$L$17-Derived_Metrics!F7)/(Inputs_Theory!$L$17-Inputs_Theory!$L$16),0)))))</f>
        <v>0.38160000000000005</v>
      </c>
      <c r="G7" s="29">
        <f>IF(Derived_Metrics!V7=0,0,0.5*(MAX(0,MIN(1,(Derived_Metrics!I7-Inputs_Theory!$L$18)/(Inputs_Theory!$L$19-Inputs_Theory!$L$18))))+0.5*(MAX(0,MIN(1,(Inputs_Theory!$L$21-Derived_Metrics!H7)/(Inputs_Theory!$L$21-Inputs_Theory!$L$20)))))</f>
        <v>0.56743682554717356</v>
      </c>
      <c r="H7" s="29">
        <f>IF(Derived_Metrics!V7=0,0,0.35*Derived_Metrics!V7+0.25*MIN(1,Derived_Metrics!P7/Derived_Metrics!$P$8)+0.25*(MAX(0,MIN(1,(Inputs_Theory!$L$23-Derived_Metrics!T7)/(Inputs_Theory!$L$23-Inputs_Theory!$L$22))))+0.15*(MAX(0,MIN(1,(Inputs_Theory!$L$25-Derived_Metrics!Q7)/(Inputs_Theory!$L$25-Inputs_Theory!$L$24)))))</f>
        <v>1</v>
      </c>
      <c r="I7" s="29">
        <f>IF(Derived_Metrics!V7=0,0,0.5*(IF(Derived_Metrics!S7&lt;=Inputs_Theory!$L$26,0,IF(Derived_Metrics!S7&lt;Inputs_Theory!$L$27,(Derived_Metrics!S7-Inputs_Theory!$L$26)/(Inputs_Theory!$L$27-Inputs_Theory!$L$26),IF(Derived_Metrics!S7&lt;=Inputs_Theory!$L$28,1,IF(Derived_Metrics!S7&lt;Inputs_Theory!$L$29,(Inputs_Theory!$L$29-Derived_Metrics!S7)/(Inputs_Theory!$L$29-Inputs_Theory!$L$28),0)))))+0.3*(IF(B7=0.875,0.6,IF(B7=1.75,1,0.8)))+0.2*(MAX(0,MIN(1,(Derived_Metrics!R7-Inputs_Theory!$L$30)/(Inputs_Theory!$L$31-Inputs_Theory!$L$30)))))</f>
        <v>1</v>
      </c>
      <c r="J7" s="29">
        <f>IF(Derived_Metrics!V7=0,0,0.3*E7+0.2*F7+0.2*G7+0.15*H7+0.15*I7)</f>
        <v>0.69257997477174327</v>
      </c>
      <c r="K7" s="29">
        <f>IF(Derived_Metrics!V7=0,0,0.4*E7+0.25*F7+0.2*G7+0.05*H7+0.1*I7)</f>
        <v>0.62925084465917946</v>
      </c>
      <c r="L7" s="29">
        <f>IF(Derived_Metrics!V7=0,0,0.2*E7+0.1*F7+0.15*G7+0.3*H7+0.25*I7)</f>
        <v>0.80845726360694836</v>
      </c>
      <c r="M7" s="57">
        <f>_xlfn.SINGLE(_xlfn.RANK.EQ(J7,$J$4:$J$12,0))</f>
        <v>7</v>
      </c>
      <c r="N7" s="57">
        <f>_xlfn.SINGLE(_xlfn.RANK.EQ(L7,$L$4:$L$12,0))</f>
        <v>3</v>
      </c>
      <c r="O7" s="10" t="s">
        <v>3</v>
      </c>
      <c r="P7" s="12" t="s">
        <v>205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" customHeight="1">
      <c r="A8" s="9">
        <f>Derived_Metrics!A8</f>
        <v>5</v>
      </c>
      <c r="B8" s="3">
        <f>Derived_Metrics!B8</f>
        <v>1.75</v>
      </c>
      <c r="C8" s="3">
        <f>Derived_Metrics!C8</f>
        <v>3.5</v>
      </c>
      <c r="D8" s="3" t="str">
        <f>Derived_Metrics!D8</f>
        <v>Solved</v>
      </c>
      <c r="E8" s="29">
        <f>IF(Derived_Metrics!V8=0,0,0.45*(IF(Derived_Metrics!T8&lt;=Inputs_Theory!$L$4,0,IF(Derived_Metrics!T8&lt;Inputs_Theory!$L$5,(Derived_Metrics!T8-Inputs_Theory!$L$4)/(Inputs_Theory!$L$5-Inputs_Theory!$L$4),IF(Derived_Metrics!T8&lt;=Inputs_Theory!$L$6,1,IF(Derived_Metrics!T8&lt;Inputs_Theory!$L$7,(Inputs_Theory!$L$7-Derived_Metrics!T8)/(Inputs_Theory!$L$7-Inputs_Theory!$L$6),0)))))+0.35*(IF(Derived_Metrics!U8&lt;=Inputs_Theory!$L$8,0,IF(Derived_Metrics!U8&lt;Inputs_Theory!$L$9,(Derived_Metrics!U8-Inputs_Theory!$L$8)/(Inputs_Theory!$L$9-Inputs_Theory!$L$8),IF(Derived_Metrics!U8&lt;=Inputs_Theory!$L$10,1,IF(Derived_Metrics!U8&lt;Inputs_Theory!$L$11,(Inputs_Theory!$L$11-Derived_Metrics!U8)/(Inputs_Theory!$L$11-Inputs_Theory!$L$10),0)))))+0.2*(MAX(0,MIN(1,(Derived_Metrics!L8-Inputs_Theory!$L$12)/(Inputs_Theory!$L$13-Inputs_Theory!$L$12)))))</f>
        <v>0.90994270917143116</v>
      </c>
      <c r="F8" s="29">
        <f>IF(Derived_Metrics!V8=0,0,IF(Derived_Metrics!F8&lt;=Inputs_Theory!$L$14,0,IF(Derived_Metrics!F8&lt;Inputs_Theory!$L$15,(Derived_Metrics!F8-Inputs_Theory!$L$14)/(Inputs_Theory!$L$15-Inputs_Theory!$L$14),IF(Derived_Metrics!F8&lt;=Inputs_Theory!$L$16,1,IF(Derived_Metrics!F8&lt;Inputs_Theory!$L$17,(Inputs_Theory!$L$17-Derived_Metrics!F8)/(Inputs_Theory!$L$17-Inputs_Theory!$L$16),0)))))</f>
        <v>1</v>
      </c>
      <c r="G8" s="29">
        <f>IF(Derived_Metrics!V8=0,0,0.5*(MAX(0,MIN(1,(Derived_Metrics!I8-Inputs_Theory!$L$18)/(Inputs_Theory!$L$19-Inputs_Theory!$L$18))))+0.5*(MAX(0,MIN(1,(Inputs_Theory!$L$21-Derived_Metrics!H8)/(Inputs_Theory!$L$21-Inputs_Theory!$L$20)))))</f>
        <v>0.81537554478368968</v>
      </c>
      <c r="H8" s="29">
        <f>IF(Derived_Metrics!V8=0,0,0.35*Derived_Metrics!V8+0.25*MIN(1,Derived_Metrics!P8/Derived_Metrics!$P$8)+0.25*(MAX(0,MIN(1,(Inputs_Theory!$L$23-Derived_Metrics!T8)/(Inputs_Theory!$L$23-Inputs_Theory!$L$22))))+0.15*(MAX(0,MIN(1,(Inputs_Theory!$L$25-Derived_Metrics!Q8)/(Inputs_Theory!$L$25-Inputs_Theory!$L$24)))))</f>
        <v>1</v>
      </c>
      <c r="I8" s="29">
        <f>IF(Derived_Metrics!V8=0,0,0.5*(IF(Derived_Metrics!S8&lt;=Inputs_Theory!$L$26,0,IF(Derived_Metrics!S8&lt;Inputs_Theory!$L$27,(Derived_Metrics!S8-Inputs_Theory!$L$26)/(Inputs_Theory!$L$27-Inputs_Theory!$L$26),IF(Derived_Metrics!S8&lt;=Inputs_Theory!$L$28,1,IF(Derived_Metrics!S8&lt;Inputs_Theory!$L$29,(Inputs_Theory!$L$29-Derived_Metrics!S8)/(Inputs_Theory!$L$29-Inputs_Theory!$L$28),0)))))+0.3*(IF(B8=0.875,0.6,IF(B8=1.75,1,0.8)))+0.2*(MAX(0,MIN(1,(Derived_Metrics!R8-Inputs_Theory!$L$30)/(Inputs_Theory!$L$31-Inputs_Theory!$L$30)))))</f>
        <v>1</v>
      </c>
      <c r="J8" s="29">
        <f>IF(Derived_Metrics!V8=0,0,0.3*E8+0.2*F8+0.2*G8+0.15*H8+0.15*I8)</f>
        <v>0.93605792170816726</v>
      </c>
      <c r="K8" s="29">
        <f>IF(Derived_Metrics!V8=0,0,0.4*E8+0.25*F8+0.2*G8+0.05*H8+0.1*I8)</f>
        <v>0.92705219262531047</v>
      </c>
      <c r="L8" s="29">
        <f>IF(Derived_Metrics!V8=0,0,0.2*E8+0.1*F8+0.15*G8+0.3*H8+0.25*I8)</f>
        <v>0.95429487355183973</v>
      </c>
      <c r="M8" s="57">
        <f>_xlfn.SINGLE(_xlfn.RANK.EQ(J8,$J$4:$J$12,0))</f>
        <v>2</v>
      </c>
      <c r="N8" s="57">
        <f>_xlfn.SINGLE(_xlfn.RANK.EQ(L8,$L$4:$L$12,0))</f>
        <v>1</v>
      </c>
      <c r="O8" s="10" t="s">
        <v>206</v>
      </c>
      <c r="P8" s="12" t="s">
        <v>207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" customHeight="1">
      <c r="A9" s="9">
        <f>Derived_Metrics!A9</f>
        <v>6</v>
      </c>
      <c r="B9" s="3">
        <f>Derived_Metrics!B9</f>
        <v>1.75</v>
      </c>
      <c r="C9" s="3">
        <f>Derived_Metrics!C9</f>
        <v>5.25</v>
      </c>
      <c r="D9" s="3" t="str">
        <f>Derived_Metrics!D9</f>
        <v>Solved</v>
      </c>
      <c r="E9" s="29">
        <f>IF(Derived_Metrics!V9=0,0,0.45*(IF(Derived_Metrics!T9&lt;=Inputs_Theory!$L$4,0,IF(Derived_Metrics!T9&lt;Inputs_Theory!$L$5,(Derived_Metrics!T9-Inputs_Theory!$L$4)/(Inputs_Theory!$L$5-Inputs_Theory!$L$4),IF(Derived_Metrics!T9&lt;=Inputs_Theory!$L$6,1,IF(Derived_Metrics!T9&lt;Inputs_Theory!$L$7,(Inputs_Theory!$L$7-Derived_Metrics!T9)/(Inputs_Theory!$L$7-Inputs_Theory!$L$6),0)))))+0.35*(IF(Derived_Metrics!U9&lt;=Inputs_Theory!$L$8,0,IF(Derived_Metrics!U9&lt;Inputs_Theory!$L$9,(Derived_Metrics!U9-Inputs_Theory!$L$8)/(Inputs_Theory!$L$9-Inputs_Theory!$L$8),IF(Derived_Metrics!U9&lt;=Inputs_Theory!$L$10,1,IF(Derived_Metrics!U9&lt;Inputs_Theory!$L$11,(Inputs_Theory!$L$11-Derived_Metrics!U9)/(Inputs_Theory!$L$11-Inputs_Theory!$L$10),0)))))+0.2*(MAX(0,MIN(1,(Derived_Metrics!L9-Inputs_Theory!$L$12)/(Inputs_Theory!$L$13-Inputs_Theory!$L$12)))))</f>
        <v>1</v>
      </c>
      <c r="F9" s="29">
        <f>IF(Derived_Metrics!V9=0,0,IF(Derived_Metrics!F9&lt;=Inputs_Theory!$L$14,0,IF(Derived_Metrics!F9&lt;Inputs_Theory!$L$15,(Derived_Metrics!F9-Inputs_Theory!$L$14)/(Inputs_Theory!$L$15-Inputs_Theory!$L$14),IF(Derived_Metrics!F9&lt;=Inputs_Theory!$L$16,1,IF(Derived_Metrics!F9&lt;Inputs_Theory!$L$17,(Inputs_Theory!$L$17-Derived_Metrics!F9)/(Inputs_Theory!$L$17-Inputs_Theory!$L$16),0)))))</f>
        <v>1</v>
      </c>
      <c r="G9" s="29">
        <f>IF(Derived_Metrics!V9=0,0,0.5*(MAX(0,MIN(1,(Derived_Metrics!I9-Inputs_Theory!$L$18)/(Inputs_Theory!$L$19-Inputs_Theory!$L$18))))+0.5*(MAX(0,MIN(1,(Inputs_Theory!$L$21-Derived_Metrics!H9)/(Inputs_Theory!$L$21-Inputs_Theory!$L$20)))))</f>
        <v>0.94222857142857142</v>
      </c>
      <c r="H9" s="29">
        <f>IF(Derived_Metrics!V9=0,0,0.35*Derived_Metrics!V9+0.25*MIN(1,Derived_Metrics!P9/Derived_Metrics!$P$8)+0.25*(MAX(0,MIN(1,(Inputs_Theory!$L$23-Derived_Metrics!T9)/(Inputs_Theory!$L$23-Inputs_Theory!$L$22))))+0.15*(MAX(0,MIN(1,(Inputs_Theory!$L$25-Derived_Metrics!Q9)/(Inputs_Theory!$L$25-Inputs_Theory!$L$24)))))</f>
        <v>0.82407407407407407</v>
      </c>
      <c r="I9" s="29">
        <f>IF(Derived_Metrics!V9=0,0,0.5*(IF(Derived_Metrics!S9&lt;=Inputs_Theory!$L$26,0,IF(Derived_Metrics!S9&lt;Inputs_Theory!$L$27,(Derived_Metrics!S9-Inputs_Theory!$L$26)/(Inputs_Theory!$L$27-Inputs_Theory!$L$26),IF(Derived_Metrics!S9&lt;=Inputs_Theory!$L$28,1,IF(Derived_Metrics!S9&lt;Inputs_Theory!$L$29,(Inputs_Theory!$L$29-Derived_Metrics!S9)/(Inputs_Theory!$L$29-Inputs_Theory!$L$28),0)))))+0.3*(IF(B9=0.875,0.6,IF(B9=1.75,1,0.8)))+0.2*(MAX(0,MIN(1,(Derived_Metrics!R9-Inputs_Theory!$L$30)/(Inputs_Theory!$L$31-Inputs_Theory!$L$30)))))</f>
        <v>1</v>
      </c>
      <c r="J9" s="29">
        <f>IF(Derived_Metrics!V9=0,0,0.3*E9+0.2*F9+0.2*G9+0.15*H9+0.15*I9)</f>
        <v>0.96205682539682547</v>
      </c>
      <c r="K9" s="29">
        <f>IF(Derived_Metrics!V9=0,0,0.4*E9+0.25*F9+0.2*G9+0.05*H9+0.1*I9)</f>
        <v>0.97964941798941807</v>
      </c>
      <c r="L9" s="29">
        <f>IF(Derived_Metrics!V9=0,0,0.2*E9+0.1*F9+0.15*G9+0.3*H9+0.25*I9)</f>
        <v>0.93855650793650802</v>
      </c>
      <c r="M9" s="57">
        <f>_xlfn.SINGLE(_xlfn.RANK.EQ(J9,$J$4:$J$12,0))</f>
        <v>1</v>
      </c>
      <c r="N9" s="57">
        <f>_xlfn.SINGLE(_xlfn.RANK.EQ(L9,$L$4:$L$12,0))</f>
        <v>2</v>
      </c>
      <c r="O9" s="10" t="s">
        <v>1</v>
      </c>
      <c r="P9" s="12" t="s">
        <v>208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" customHeight="1">
      <c r="A10" s="9">
        <f>Derived_Metrics!A10</f>
        <v>7</v>
      </c>
      <c r="B10" s="3">
        <f>Derived_Metrics!B10</f>
        <v>2.625</v>
      </c>
      <c r="C10" s="3">
        <f>Derived_Metrics!C10</f>
        <v>1.75</v>
      </c>
      <c r="D10" s="3" t="str">
        <f>Derived_Metrics!D10</f>
        <v>Failed</v>
      </c>
      <c r="E10" s="29">
        <f>IF(Derived_Metrics!V10=0,0,0.45*(IF(Derived_Metrics!T10&lt;=Inputs_Theory!$L$4,0,IF(Derived_Metrics!T10&lt;Inputs_Theory!$L$5,(Derived_Metrics!T10-Inputs_Theory!$L$4)/(Inputs_Theory!$L$5-Inputs_Theory!$L$4),IF(Derived_Metrics!T10&lt;=Inputs_Theory!$L$6,1,IF(Derived_Metrics!T10&lt;Inputs_Theory!$L$7,(Inputs_Theory!$L$7-Derived_Metrics!T10)/(Inputs_Theory!$L$7-Inputs_Theory!$L$6),0)))))+0.35*(IF(Derived_Metrics!U10&lt;=Inputs_Theory!$L$8,0,IF(Derived_Metrics!U10&lt;Inputs_Theory!$L$9,(Derived_Metrics!U10-Inputs_Theory!$L$8)/(Inputs_Theory!$L$9-Inputs_Theory!$L$8),IF(Derived_Metrics!U10&lt;=Inputs_Theory!$L$10,1,IF(Derived_Metrics!U10&lt;Inputs_Theory!$L$11,(Inputs_Theory!$L$11-Derived_Metrics!U10)/(Inputs_Theory!$L$11-Inputs_Theory!$L$10),0)))))+0.2*(MAX(0,MIN(1,(Derived_Metrics!L10-Inputs_Theory!$L$12)/(Inputs_Theory!$L$13-Inputs_Theory!$L$12)))))</f>
        <v>0</v>
      </c>
      <c r="F10" s="29">
        <f>IF(Derived_Metrics!V10=0,0,IF(Derived_Metrics!F10&lt;=Inputs_Theory!$L$14,0,IF(Derived_Metrics!F10&lt;Inputs_Theory!$L$15,(Derived_Metrics!F10-Inputs_Theory!$L$14)/(Inputs_Theory!$L$15-Inputs_Theory!$L$14),IF(Derived_Metrics!F10&lt;=Inputs_Theory!$L$16,1,IF(Derived_Metrics!F10&lt;Inputs_Theory!$L$17,(Inputs_Theory!$L$17-Derived_Metrics!F10)/(Inputs_Theory!$L$17-Inputs_Theory!$L$16),0)))))</f>
        <v>0</v>
      </c>
      <c r="G10" s="29">
        <f>IF(Derived_Metrics!V10=0,0,0.5*(MAX(0,MIN(1,(Derived_Metrics!I10-Inputs_Theory!$L$18)/(Inputs_Theory!$L$19-Inputs_Theory!$L$18))))+0.5*(MAX(0,MIN(1,(Inputs_Theory!$L$21-Derived_Metrics!H10)/(Inputs_Theory!$L$21-Inputs_Theory!$L$20)))))</f>
        <v>0</v>
      </c>
      <c r="H10" s="29">
        <f>IF(Derived_Metrics!V10=0,0,0.35*Derived_Metrics!V10+0.25*MIN(1,Derived_Metrics!P10/Derived_Metrics!$P$8)+0.25*(MAX(0,MIN(1,(Inputs_Theory!$L$23-Derived_Metrics!T10)/(Inputs_Theory!$L$23-Inputs_Theory!$L$22))))+0.15*(MAX(0,MIN(1,(Inputs_Theory!$L$25-Derived_Metrics!Q10)/(Inputs_Theory!$L$25-Inputs_Theory!$L$24)))))</f>
        <v>0</v>
      </c>
      <c r="I10" s="29">
        <f>IF(Derived_Metrics!V10=0,0,0.5*(IF(Derived_Metrics!S10&lt;=Inputs_Theory!$L$26,0,IF(Derived_Metrics!S10&lt;Inputs_Theory!$L$27,(Derived_Metrics!S10-Inputs_Theory!$L$26)/(Inputs_Theory!$L$27-Inputs_Theory!$L$26),IF(Derived_Metrics!S10&lt;=Inputs_Theory!$L$28,1,IF(Derived_Metrics!S10&lt;Inputs_Theory!$L$29,(Inputs_Theory!$L$29-Derived_Metrics!S10)/(Inputs_Theory!$L$29-Inputs_Theory!$L$28),0)))))+0.3*(IF(B10=0.875,0.6,IF(B10=1.75,1,0.8)))+0.2*(MAX(0,MIN(1,(Derived_Metrics!R10-Inputs_Theory!$L$30)/(Inputs_Theory!$L$31-Inputs_Theory!$L$30)))))</f>
        <v>0</v>
      </c>
      <c r="J10" s="29">
        <f>IF(Derived_Metrics!V10=0,0,0.3*E10+0.2*F10+0.2*G10+0.15*H10+0.15*I10)</f>
        <v>0</v>
      </c>
      <c r="K10" s="29">
        <f>IF(Derived_Metrics!V10=0,0,0.4*E10+0.25*F10+0.2*G10+0.05*H10+0.1*I10)</f>
        <v>0</v>
      </c>
      <c r="L10" s="29">
        <f>IF(Derived_Metrics!V10=0,0,0.2*E10+0.1*F10+0.15*G10+0.3*H10+0.25*I10)</f>
        <v>0</v>
      </c>
      <c r="M10" s="57">
        <f>_xlfn.SINGLE(_xlfn.RANK.EQ(J10,$J$4:$J$12,0))</f>
        <v>9</v>
      </c>
      <c r="N10" s="57">
        <f>_xlfn.SINGLE(_xlfn.RANK.EQ(L10,$L$4:$L$12,0))</f>
        <v>9</v>
      </c>
      <c r="O10" s="10" t="s">
        <v>209</v>
      </c>
      <c r="P10" s="12" t="s">
        <v>210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" customHeight="1">
      <c r="A11" s="9">
        <f>Derived_Metrics!A11</f>
        <v>8</v>
      </c>
      <c r="B11" s="3">
        <f>Derived_Metrics!B11</f>
        <v>2.625</v>
      </c>
      <c r="C11" s="3">
        <f>Derived_Metrics!C11</f>
        <v>3.5</v>
      </c>
      <c r="D11" s="3" t="str">
        <f>Derived_Metrics!D11</f>
        <v>Solved</v>
      </c>
      <c r="E11" s="29">
        <f>IF(Derived_Metrics!V11=0,0,0.45*(IF(Derived_Metrics!T11&lt;=Inputs_Theory!$L$4,0,IF(Derived_Metrics!T11&lt;Inputs_Theory!$L$5,(Derived_Metrics!T11-Inputs_Theory!$L$4)/(Inputs_Theory!$L$5-Inputs_Theory!$L$4),IF(Derived_Metrics!T11&lt;=Inputs_Theory!$L$6,1,IF(Derived_Metrics!T11&lt;Inputs_Theory!$L$7,(Inputs_Theory!$L$7-Derived_Metrics!T11)/(Inputs_Theory!$L$7-Inputs_Theory!$L$6),0)))))+0.35*(IF(Derived_Metrics!U11&lt;=Inputs_Theory!$L$8,0,IF(Derived_Metrics!U11&lt;Inputs_Theory!$L$9,(Derived_Metrics!U11-Inputs_Theory!$L$8)/(Inputs_Theory!$L$9-Inputs_Theory!$L$8),IF(Derived_Metrics!U11&lt;=Inputs_Theory!$L$10,1,IF(Derived_Metrics!U11&lt;Inputs_Theory!$L$11,(Inputs_Theory!$L$11-Derived_Metrics!U11)/(Inputs_Theory!$L$11-Inputs_Theory!$L$10),0)))))+0.2*(MAX(0,MIN(1,(Derived_Metrics!L11-Inputs_Theory!$L$12)/(Inputs_Theory!$L$13-Inputs_Theory!$L$12)))))</f>
        <v>0.94849494728289607</v>
      </c>
      <c r="F11" s="29">
        <f>IF(Derived_Metrics!V11=0,0,IF(Derived_Metrics!F11&lt;=Inputs_Theory!$L$14,0,IF(Derived_Metrics!F11&lt;Inputs_Theory!$L$15,(Derived_Metrics!F11-Inputs_Theory!$L$14)/(Inputs_Theory!$L$15-Inputs_Theory!$L$14),IF(Derived_Metrics!F11&lt;=Inputs_Theory!$L$16,1,IF(Derived_Metrics!F11&lt;Inputs_Theory!$L$17,(Inputs_Theory!$L$17-Derived_Metrics!F11)/(Inputs_Theory!$L$17-Inputs_Theory!$L$16),0)))))</f>
        <v>0.79705142857142863</v>
      </c>
      <c r="G11" s="29">
        <f>IF(Derived_Metrics!V11=0,0,0.5*(MAX(0,MIN(1,(Derived_Metrics!I11-Inputs_Theory!$L$18)/(Inputs_Theory!$L$19-Inputs_Theory!$L$18))))+0.5*(MAX(0,MIN(1,(Inputs_Theory!$L$21-Derived_Metrics!H11)/(Inputs_Theory!$L$21-Inputs_Theory!$L$20)))))</f>
        <v>0.76801849921649112</v>
      </c>
      <c r="H11" s="29">
        <f>IF(Derived_Metrics!V11=0,0,0.35*Derived_Metrics!V11+0.25*MIN(1,Derived_Metrics!P11/Derived_Metrics!$P$8)+0.25*(MAX(0,MIN(1,(Inputs_Theory!$L$23-Derived_Metrics!T11)/(Inputs_Theory!$L$23-Inputs_Theory!$L$22))))+0.15*(MAX(0,MIN(1,(Inputs_Theory!$L$25-Derived_Metrics!Q11)/(Inputs_Theory!$L$25-Inputs_Theory!$L$24)))))</f>
        <v>1</v>
      </c>
      <c r="I11" s="29">
        <f>IF(Derived_Metrics!V11=0,0,0.5*(IF(Derived_Metrics!S11&lt;=Inputs_Theory!$L$26,0,IF(Derived_Metrics!S11&lt;Inputs_Theory!$L$27,(Derived_Metrics!S11-Inputs_Theory!$L$26)/(Inputs_Theory!$L$27-Inputs_Theory!$L$26),IF(Derived_Metrics!S11&lt;=Inputs_Theory!$L$28,1,IF(Derived_Metrics!S11&lt;Inputs_Theory!$L$29,(Inputs_Theory!$L$29-Derived_Metrics!S11)/(Inputs_Theory!$L$29-Inputs_Theory!$L$28),0)))))+0.3*(IF(B11=0.875,0.6,IF(B11=1.75,1,0.8)))+0.2*(MAX(0,MIN(1,(Derived_Metrics!R11-Inputs_Theory!$L$30)/(Inputs_Theory!$L$31-Inputs_Theory!$L$30)))))</f>
        <v>0.34807692307692306</v>
      </c>
      <c r="J11" s="29">
        <f>IF(Derived_Metrics!V11=0,0,0.3*E11+0.2*F11+0.2*G11+0.15*H11+0.15*I11)</f>
        <v>0.79977400820399136</v>
      </c>
      <c r="K11" s="29">
        <f>IF(Derived_Metrics!V11=0,0,0.4*E11+0.25*F11+0.2*G11+0.05*H11+0.1*I11)</f>
        <v>0.8170722282070062</v>
      </c>
      <c r="L11" s="29">
        <f>IF(Derived_Metrics!V11=0,0,0.2*E11+0.1*F11+0.15*G11+0.3*H11+0.25*I11)</f>
        <v>0.77162613796542656</v>
      </c>
      <c r="M11" s="57">
        <f>_xlfn.SINGLE(_xlfn.RANK.EQ(J11,$J$4:$J$12,0))</f>
        <v>5</v>
      </c>
      <c r="N11" s="57">
        <f>_xlfn.SINGLE(_xlfn.RANK.EQ(L11,$L$4:$L$12,0))</f>
        <v>6</v>
      </c>
      <c r="O11" s="10" t="s">
        <v>211</v>
      </c>
      <c r="P11" s="12" t="s">
        <v>212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" customHeight="1">
      <c r="A12" s="44">
        <f>Derived_Metrics!A12</f>
        <v>9</v>
      </c>
      <c r="B12" s="37">
        <f>Derived_Metrics!B12</f>
        <v>2.625</v>
      </c>
      <c r="C12" s="37">
        <f>Derived_Metrics!C12</f>
        <v>5.25</v>
      </c>
      <c r="D12" s="37" t="str">
        <f>Derived_Metrics!D12</f>
        <v>Solved</v>
      </c>
      <c r="E12" s="39">
        <f>IF(Derived_Metrics!V12=0,0,0.45*(IF(Derived_Metrics!T12&lt;=Inputs_Theory!$L$4,0,IF(Derived_Metrics!T12&lt;Inputs_Theory!$L$5,(Derived_Metrics!T12-Inputs_Theory!$L$4)/(Inputs_Theory!$L$5-Inputs_Theory!$L$4),IF(Derived_Metrics!T12&lt;=Inputs_Theory!$L$6,1,IF(Derived_Metrics!T12&lt;Inputs_Theory!$L$7,(Inputs_Theory!$L$7-Derived_Metrics!T12)/(Inputs_Theory!$L$7-Inputs_Theory!$L$6),0)))))+0.35*(IF(Derived_Metrics!U12&lt;=Inputs_Theory!$L$8,0,IF(Derived_Metrics!U12&lt;Inputs_Theory!$L$9,(Derived_Metrics!U12-Inputs_Theory!$L$8)/(Inputs_Theory!$L$9-Inputs_Theory!$L$8),IF(Derived_Metrics!U12&lt;=Inputs_Theory!$L$10,1,IF(Derived_Metrics!U12&lt;Inputs_Theory!$L$11,(Inputs_Theory!$L$11-Derived_Metrics!U12)/(Inputs_Theory!$L$11-Inputs_Theory!$L$10),0)))))+0.2*(MAX(0,MIN(1,(Derived_Metrics!L12-Inputs_Theory!$L$12)/(Inputs_Theory!$L$13-Inputs_Theory!$L$12)))))</f>
        <v>0.98110311058886135</v>
      </c>
      <c r="F12" s="39">
        <f>IF(Derived_Metrics!V12=0,0,IF(Derived_Metrics!F12&lt;=Inputs_Theory!$L$14,0,IF(Derived_Metrics!F12&lt;Inputs_Theory!$L$15,(Derived_Metrics!F12-Inputs_Theory!$L$14)/(Inputs_Theory!$L$15-Inputs_Theory!$L$14),IF(Derived_Metrics!F12&lt;=Inputs_Theory!$L$16,1,IF(Derived_Metrics!F12&lt;Inputs_Theory!$L$17,(Inputs_Theory!$L$17-Derived_Metrics!F12)/(Inputs_Theory!$L$17-Inputs_Theory!$L$16),0)))))</f>
        <v>1</v>
      </c>
      <c r="G12" s="39">
        <f>IF(Derived_Metrics!V12=0,0,0.5*(MAX(0,MIN(1,(Derived_Metrics!I12-Inputs_Theory!$L$18)/(Inputs_Theory!$L$19-Inputs_Theory!$L$18))))+0.5*(MAX(0,MIN(1,(Inputs_Theory!$L$21-Derived_Metrics!H12)/(Inputs_Theory!$L$21-Inputs_Theory!$L$20)))))</f>
        <v>0.95673326060275465</v>
      </c>
      <c r="H12" s="39">
        <f>IF(Derived_Metrics!V12=0,0,0.35*Derived_Metrics!V12+0.25*MIN(1,Derived_Metrics!P12/Derived_Metrics!$P$8)+0.25*(MAX(0,MIN(1,(Inputs_Theory!$L$23-Derived_Metrics!T12)/(Inputs_Theory!$L$23-Inputs_Theory!$L$22))))+0.15*(MAX(0,MIN(1,(Inputs_Theory!$L$25-Derived_Metrics!Q12)/(Inputs_Theory!$L$25-Inputs_Theory!$L$24)))))</f>
        <v>0.82870370370370372</v>
      </c>
      <c r="I12" s="39">
        <f>IF(Derived_Metrics!V12=0,0,0.5*(IF(Derived_Metrics!S12&lt;=Inputs_Theory!$L$26,0,IF(Derived_Metrics!S12&lt;Inputs_Theory!$L$27,(Derived_Metrics!S12-Inputs_Theory!$L$26)/(Inputs_Theory!$L$27-Inputs_Theory!$L$26),IF(Derived_Metrics!S12&lt;=Inputs_Theory!$L$28,1,IF(Derived_Metrics!S12&lt;Inputs_Theory!$L$29,(Inputs_Theory!$L$29-Derived_Metrics!S12)/(Inputs_Theory!$L$29-Inputs_Theory!$L$28),0)))))+0.3*(IF(B12=0.875,0.6,IF(B12=1.75,1,0.8)))+0.2*(MAX(0,MIN(1,(Derived_Metrics!R12-Inputs_Theory!$L$30)/(Inputs_Theory!$L$31-Inputs_Theory!$L$30)))))</f>
        <v>0.34807692307692306</v>
      </c>
      <c r="J12" s="39">
        <f>IF(Derived_Metrics!V12=0,0,0.3*E12+0.2*F12+0.2*G12+0.15*H12+0.15*I12)</f>
        <v>0.86219467931430338</v>
      </c>
      <c r="K12" s="39">
        <f>IF(Derived_Metrics!V12=0,0,0.4*E12+0.25*F12+0.2*G12+0.05*H12+0.1*I12)</f>
        <v>0.91003077384897291</v>
      </c>
      <c r="L12" s="39">
        <f>IF(Derived_Metrics!V12=0,0,0.2*E12+0.1*F12+0.15*G12+0.3*H12+0.25*I12)</f>
        <v>0.77536095308852737</v>
      </c>
      <c r="M12" s="58">
        <f>_xlfn.SINGLE(_xlfn.RANK.EQ(J12,$J$4:$J$12,0))</f>
        <v>3</v>
      </c>
      <c r="N12" s="58">
        <f>_xlfn.SINGLE(_xlfn.RANK.EQ(L12,$L$4:$L$12,0))</f>
        <v>5</v>
      </c>
      <c r="O12" s="47" t="s">
        <v>213</v>
      </c>
      <c r="P12" s="48" t="s">
        <v>214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P2"/>
  </mergeCells>
  <conditionalFormatting sqref="D4:D12">
    <cfRule type="expression" dxfId="4" priority="3">
      <formula>D4="Failed"</formula>
    </cfRule>
  </conditionalFormatting>
  <conditionalFormatting sqref="J4:J12">
    <cfRule type="colorScale" priority="1">
      <colorScale>
        <cfvo type="min"/>
        <cfvo type="percentile" val="50"/>
        <cfvo type="max"/>
        <color rgb="FFF4CCCC"/>
        <color rgb="FFFFF2CC"/>
        <color rgb="FFE2F0D9"/>
      </colorScale>
    </cfRule>
  </conditionalFormatting>
  <conditionalFormatting sqref="L4:L12">
    <cfRule type="colorScale" priority="2">
      <colorScale>
        <cfvo type="min"/>
        <cfvo type="percentile" val="50"/>
        <cfvo type="max"/>
        <color rgb="FFF4CCCC"/>
        <color rgb="FFFFF2CC"/>
        <color rgb="FFE2F0D9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K2"/>
    </sheetView>
  </sheetViews>
  <sheetFormatPr defaultRowHeight="14"/>
  <cols>
    <col min="1" max="1" width="20" customWidth="1"/>
    <col min="2" max="3" width="13" customWidth="1"/>
    <col min="4" max="4" width="12" customWidth="1"/>
    <col min="5" max="5" width="16" customWidth="1"/>
    <col min="6" max="6" width="15" customWidth="1"/>
    <col min="7" max="7" width="18" customWidth="1"/>
    <col min="8" max="8" width="16" customWidth="1"/>
    <col min="9" max="10" width="17" customWidth="1"/>
    <col min="11" max="11" width="18" customWidth="1"/>
  </cols>
  <sheetData>
    <row r="1" spans="1:26" ht="16" customHeight="1">
      <c r="A1" s="91" t="s">
        <v>215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">
      <c r="A3" s="2" t="s">
        <v>216</v>
      </c>
      <c r="B3" s="2" t="s">
        <v>217</v>
      </c>
      <c r="C3" s="2" t="s">
        <v>218</v>
      </c>
      <c r="D3" s="2" t="s">
        <v>219</v>
      </c>
      <c r="E3" s="2" t="s">
        <v>220</v>
      </c>
      <c r="F3" s="2" t="s">
        <v>221</v>
      </c>
      <c r="G3" s="2" t="s">
        <v>222</v>
      </c>
      <c r="H3" s="2" t="s">
        <v>223</v>
      </c>
      <c r="I3" s="2" t="s">
        <v>224</v>
      </c>
      <c r="J3" s="2" t="s">
        <v>225</v>
      </c>
      <c r="K3" s="2" t="s">
        <v>226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5">
      <c r="A4" s="4" t="s">
        <v>227</v>
      </c>
      <c r="B4" s="24">
        <v>0.875</v>
      </c>
      <c r="C4" s="5">
        <f>COUNTIFS(Derived_Metrics!$B$4:$B$12,B4,Derived_Metrics!$D$4:$D$12,"Solved")</f>
        <v>3</v>
      </c>
      <c r="D4" s="5">
        <f>COUNTIFS(Derived_Metrics!$B$4:$B$12,B4,Derived_Metrics!$D$4:$D$12,"Failed")</f>
        <v>0</v>
      </c>
      <c r="E4" s="40">
        <f>IF(C4=0,0,SUMIFS(Derived_Metrics!$E$4:$E$12,Derived_Metrics!$B$4:$B$12,B4,Derived_Metrics!$D$4:$D$12,"Solved")/C4)</f>
        <v>0.27656333333333333</v>
      </c>
      <c r="F4" s="40">
        <f>IF(C4=0,0,SUMIFS(Derived_Metrics!$F$4:$F$12,Derived_Metrics!$B$4:$B$12,B4,Derived_Metrics!$D$4:$D$12,"Solved")/C4)</f>
        <v>0.22125066666666668</v>
      </c>
      <c r="G4" s="40">
        <f>IF(C4=0,0,SUMIFS(Derived_Metrics!$T$4:$T$12,Derived_Metrics!$B$4:$B$12,B4,Derived_Metrics!$D$4:$D$12,"Solved")/C4)</f>
        <v>0.37853000000000003</v>
      </c>
      <c r="H4" s="40">
        <f>IF(C4=0,0,SUMIFS(Derived_Metrics!$U$4:$U$12,Derived_Metrics!$B$4:$B$12,B4,Derived_Metrics!$D$4:$D$12,"Solved")/C4)</f>
        <v>0.14938666666666667</v>
      </c>
      <c r="I4" s="40">
        <f>IF(C4=0,0,SUMIFS(Derived_Metrics!$H$4:$H$12,Derived_Metrics!$B$4:$B$12,B4,Derived_Metrics!$D$4:$D$12,"Solved")/C4)</f>
        <v>0.24237740322627008</v>
      </c>
      <c r="J4" s="40">
        <f>IF(C4=0,0,SUMIFS(Derived_Metrics!$I$4:$I$12,Derived_Metrics!$B$4:$B$12,B4,Derived_Metrics!$D$4:$D$12,"Solved")/C4)</f>
        <v>4.7139162626167836</v>
      </c>
      <c r="K4" s="59">
        <f>IF(C4=0,0,SUMIFS(Combined_Ranking!$J$4:$J$12,Combined_Ranking!$B$4:$B$12,B4,Combined_Ranking!$D$4:$D$12,"Solved")/C4)</f>
        <v>0.7398939536814847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">
      <c r="A5" s="9" t="s">
        <v>227</v>
      </c>
      <c r="B5" s="29">
        <v>1.75</v>
      </c>
      <c r="C5" s="3">
        <f>COUNTIFS(Derived_Metrics!$B$4:$B$12,B5,Derived_Metrics!$D$4:$D$12,"Solved")</f>
        <v>3</v>
      </c>
      <c r="D5" s="3">
        <f>COUNTIFS(Derived_Metrics!$B$4:$B$12,B5,Derived_Metrics!$D$4:$D$12,"Failed")</f>
        <v>0</v>
      </c>
      <c r="E5" s="42">
        <f>IF(C5=0,0,SUMIFS(Derived_Metrics!$E$4:$E$12,Derived_Metrics!$B$4:$B$12,B5,Derived_Metrics!$D$4:$D$12,"Solved")/C5)</f>
        <v>0.69457000000000002</v>
      </c>
      <c r="F5" s="42">
        <f>IF(C5=0,0,SUMIFS(Derived_Metrics!$F$4:$F$12,Derived_Metrics!$B$4:$B$12,B5,Derived_Metrics!$D$4:$D$12,"Solved")/C5)</f>
        <v>0.55565599999999993</v>
      </c>
      <c r="G5" s="42">
        <f>IF(C5=0,0,SUMIFS(Derived_Metrics!$T$4:$T$12,Derived_Metrics!$B$4:$B$12,B5,Derived_Metrics!$D$4:$D$12,"Solved")/C5)</f>
        <v>0.44880999999999999</v>
      </c>
      <c r="H5" s="42">
        <f>IF(C5=0,0,SUMIFS(Derived_Metrics!$U$4:$U$12,Derived_Metrics!$B$4:$B$12,B5,Derived_Metrics!$D$4:$D$12,"Solved")/C5)</f>
        <v>0.36126999999999998</v>
      </c>
      <c r="I5" s="42">
        <f>IF(C5=0,0,SUMIFS(Derived_Metrics!$H$4:$H$12,Derived_Metrics!$B$4:$B$12,B5,Derived_Metrics!$D$4:$D$12,"Solved")/C5)</f>
        <v>0.29921638464221784</v>
      </c>
      <c r="J5" s="42">
        <f>IF(C5=0,0,SUMIFS(Derived_Metrics!$I$4:$I$12,Derived_Metrics!$B$4:$B$12,B5,Derived_Metrics!$D$4:$D$12,"Solved")/C5)</f>
        <v>8.7410050012396709</v>
      </c>
      <c r="K5" s="60">
        <f>IF(C5=0,0,SUMIFS(Combined_Ranking!$J$4:$J$12,Combined_Ranking!$B$4:$B$12,B5,Combined_Ranking!$D$4:$D$12,"Solved")/C5)</f>
        <v>0.86356490729224544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5">
      <c r="A6" s="9" t="s">
        <v>227</v>
      </c>
      <c r="B6" s="29">
        <v>2.625</v>
      </c>
      <c r="C6" s="3">
        <f>COUNTIFS(Derived_Metrics!$B$4:$B$12,B6,Derived_Metrics!$D$4:$D$12,"Solved")</f>
        <v>2</v>
      </c>
      <c r="D6" s="3">
        <f>COUNTIFS(Derived_Metrics!$B$4:$B$12,B6,Derived_Metrics!$D$4:$D$12,"Failed")</f>
        <v>1</v>
      </c>
      <c r="E6" s="42">
        <f>IF(C6=0,0,SUMIFS(Derived_Metrics!$E$4:$E$12,Derived_Metrics!$B$4:$B$12,B6,Derived_Metrics!$D$4:$D$12,"Solved")/C6)</f>
        <v>0.6920949999999999</v>
      </c>
      <c r="F6" s="42">
        <f>IF(C6=0,0,SUMIFS(Derived_Metrics!$F$4:$F$12,Derived_Metrics!$B$4:$B$12,B6,Derived_Metrics!$D$4:$D$12,"Solved")/C6)</f>
        <v>0.55367599999999995</v>
      </c>
      <c r="G6" s="42">
        <f>IF(C6=0,0,SUMIFS(Derived_Metrics!$T$4:$T$12,Derived_Metrics!$B$4:$B$12,B6,Derived_Metrics!$D$4:$D$12,"Solved")/C6)</f>
        <v>0.49282999999999999</v>
      </c>
      <c r="H6" s="42">
        <f>IF(C6=0,0,SUMIFS(Derived_Metrics!$U$4:$U$12,Derived_Metrics!$B$4:$B$12,B6,Derived_Metrics!$D$4:$D$12,"Solved")/C6)</f>
        <v>0.35924500000000004</v>
      </c>
      <c r="I6" s="42">
        <f>IF(C6=0,0,SUMIFS(Derived_Metrics!$H$4:$H$12,Derived_Metrics!$B$4:$B$12,B6,Derived_Metrics!$D$4:$D$12,"Solved")/C6)</f>
        <v>0.2480904535188338</v>
      </c>
      <c r="J6" s="42">
        <f>IF(C6=0,0,SUMIFS(Derived_Metrics!$I$4:$I$12,Derived_Metrics!$B$4:$B$12,B6,Derived_Metrics!$D$4:$D$12,"Solved")/C6)</f>
        <v>7.2791947005927842</v>
      </c>
      <c r="K6" s="60">
        <f>IF(C6=0,0,SUMIFS(Combined_Ranking!$J$4:$J$12,Combined_Ranking!$B$4:$B$12,B6,Combined_Ranking!$D$4:$D$12,"Solved")/C6)</f>
        <v>0.83098434375914731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5">
      <c r="A7" s="9" t="s">
        <v>228</v>
      </c>
      <c r="B7" s="29">
        <v>1.75</v>
      </c>
      <c r="C7" s="3">
        <f>COUNTIFS(Derived_Metrics!$C$4:$C$12,B7,Derived_Metrics!$D$4:$D$12,"Solved")</f>
        <v>2</v>
      </c>
      <c r="D7" s="3">
        <f>COUNTIFS(Derived_Metrics!$C$4:$C$12,B7,Derived_Metrics!$D$4:$D$12,"Failed")</f>
        <v>1</v>
      </c>
      <c r="E7" s="42">
        <f>IF(C7=0,0,SUMIFS(Derived_Metrics!$E$4:$E$12,Derived_Metrics!$C$4:$C$12,B7,Derived_Metrics!$D$4:$D$12,"Solved")/C7)</f>
        <v>0.77995999999999999</v>
      </c>
      <c r="F7" s="42">
        <f>IF(C7=0,0,SUMIFS(Derived_Metrics!$F$4:$F$12,Derived_Metrics!$C$4:$C$12,B7,Derived_Metrics!$D$4:$D$12,"Solved")/C7)</f>
        <v>0.62396799999999997</v>
      </c>
      <c r="G7" s="42">
        <f>IF(C7=0,0,SUMIFS(Derived_Metrics!$T$4:$T$12,Derived_Metrics!$C$4:$C$12,B7,Derived_Metrics!$D$4:$D$12,"Solved")/C7)</f>
        <v>0.46287500000000004</v>
      </c>
      <c r="H7" s="42">
        <f>IF(C7=0,0,SUMIFS(Derived_Metrics!$U$4:$U$12,Derived_Metrics!$C$4:$C$12,B7,Derived_Metrics!$D$4:$D$12,"Solved")/C7)</f>
        <v>0.35426999999999997</v>
      </c>
      <c r="I7" s="42">
        <f>IF(C7=0,0,SUMIFS(Derived_Metrics!$H$4:$H$12,Derived_Metrics!$C$4:$C$12,B7,Derived_Metrics!$D$4:$D$12,"Solved")/C7)</f>
        <v>0.30012861999223939</v>
      </c>
      <c r="J7" s="42">
        <f>IF(C7=0,0,SUMIFS(Derived_Metrics!$I$4:$I$12,Derived_Metrics!$C$4:$C$12,B7,Derived_Metrics!$D$4:$D$12,"Solved")/C7)</f>
        <v>7.2584970080468754</v>
      </c>
      <c r="K7" s="60">
        <f>IF(C7=0,0,SUMIFS(Combined_Ranking!$J$4:$J$12,Combined_Ranking!$C$4:$C$12,B7,Combined_Ranking!$D$4:$D$12,"Solved")/C7)</f>
        <v>0.75613502051064763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5">
      <c r="A8" s="9" t="s">
        <v>228</v>
      </c>
      <c r="B8" s="29">
        <v>3.5</v>
      </c>
      <c r="C8" s="3">
        <f>COUNTIFS(Derived_Metrics!$C$4:$C$12,B8,Derived_Metrics!$D$4:$D$12,"Solved")</f>
        <v>3</v>
      </c>
      <c r="D8" s="3">
        <f>COUNTIFS(Derived_Metrics!$C$4:$C$12,B8,Derived_Metrics!$D$4:$D$12,"Failed")</f>
        <v>0</v>
      </c>
      <c r="E8" s="42">
        <f>IF(C8=0,0,SUMIFS(Derived_Metrics!$E$4:$E$12,Derived_Metrics!$C$4:$C$12,B8,Derived_Metrics!$D$4:$D$12,"Solved")/C8)</f>
        <v>0.52855666666666667</v>
      </c>
      <c r="F8" s="42">
        <f>IF(C8=0,0,SUMIFS(Derived_Metrics!$F$4:$F$12,Derived_Metrics!$C$4:$C$12,B8,Derived_Metrics!$D$4:$D$12,"Solved")/C8)</f>
        <v>0.42284533333333335</v>
      </c>
      <c r="G8" s="42">
        <f>IF(C8=0,0,SUMIFS(Derived_Metrics!$T$4:$T$12,Derived_Metrics!$C$4:$C$12,B8,Derived_Metrics!$D$4:$D$12,"Solved")/C8)</f>
        <v>0.44212333333333337</v>
      </c>
      <c r="H8" s="42">
        <f>IF(C8=0,0,SUMIFS(Derived_Metrics!$U$4:$U$12,Derived_Metrics!$C$4:$C$12,B8,Derived_Metrics!$D$4:$D$12,"Solved")/C8)</f>
        <v>0.28204333333333337</v>
      </c>
      <c r="I8" s="42">
        <f>IF(C8=0,0,SUMIFS(Derived_Metrics!$H$4:$H$12,Derived_Metrics!$C$4:$C$12,B8,Derived_Metrics!$D$4:$D$12,"Solved")/C8)</f>
        <v>0.2648146448912907</v>
      </c>
      <c r="J8" s="42">
        <f>IF(C8=0,0,SUMIFS(Derived_Metrics!$I$4:$I$12,Derived_Metrics!$C$4:$C$12,B8,Derived_Metrics!$D$4:$D$12,"Solved")/C8)</f>
        <v>5.9657582605810591</v>
      </c>
      <c r="K8" s="60">
        <f>IF(C8=0,0,SUMIFS(Combined_Ranking!$J$4:$J$12,Combined_Ranking!$C$4:$C$12,B8,Combined_Ranking!$D$4:$D$12,"Solved")/C8)</f>
        <v>0.83037685894008206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5">
      <c r="A9" s="44" t="s">
        <v>228</v>
      </c>
      <c r="B9" s="39">
        <v>5.25</v>
      </c>
      <c r="C9" s="37">
        <f>COUNTIFS(Derived_Metrics!$C$4:$C$12,B9,Derived_Metrics!$D$4:$D$12,"Solved")</f>
        <v>3</v>
      </c>
      <c r="D9" s="37">
        <f>COUNTIFS(Derived_Metrics!$C$4:$C$12,B9,Derived_Metrics!$D$4:$D$12,"Failed")</f>
        <v>0</v>
      </c>
      <c r="E9" s="45">
        <f>IF(C9=0,0,SUMIFS(Derived_Metrics!$E$4:$E$12,Derived_Metrics!$C$4:$C$12,B9,Derived_Metrics!$D$4:$D$12,"Solved")/C9)</f>
        <v>0.38399999999999995</v>
      </c>
      <c r="F9" s="45">
        <f>IF(C9=0,0,SUMIFS(Derived_Metrics!$F$4:$F$12,Derived_Metrics!$C$4:$C$12,B9,Derived_Metrics!$D$4:$D$12,"Solved")/C9)</f>
        <v>0.30719999999999997</v>
      </c>
      <c r="G9" s="45">
        <f>IF(C9=0,0,SUMIFS(Derived_Metrics!$T$4:$T$12,Derived_Metrics!$C$4:$C$12,B9,Derived_Metrics!$D$4:$D$12,"Solved")/C9)</f>
        <v>0.40518666666666664</v>
      </c>
      <c r="H9" s="45">
        <f>IF(C9=0,0,SUMIFS(Derived_Metrics!$U$4:$U$12,Derived_Metrics!$C$4:$C$12,B9,Derived_Metrics!$D$4:$D$12,"Solved")/C9)</f>
        <v>0.23192999999999997</v>
      </c>
      <c r="I9" s="45">
        <f>IF(C9=0,0,SUMIFS(Derived_Metrics!$H$4:$H$12,Derived_Metrics!$C$4:$C$12,B9,Derived_Metrics!$D$4:$D$12,"Solved")/C9)</f>
        <v>0.24208703199492684</v>
      </c>
      <c r="J9" s="45">
        <f>IF(C9=0,0,SUMIFS(Derived_Metrics!$I$4:$I$12,Derived_Metrics!$C$4:$C$12,B9,Derived_Metrics!$D$4:$D$12,"Solved")/C9)</f>
        <v>7.5029614649726684</v>
      </c>
      <c r="K9" s="61">
        <f>IF(C9=0,0,SUMIFS(Combined_Ranking!$J$4:$J$12,Combined_Ranking!$C$4:$C$12,B9,Combined_Ranking!$D$4:$D$12,"Solved")/C9)</f>
        <v>0.82298155086598113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5">
      <c r="A12" s="92" t="s">
        <v>229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7.399999999999999" customHeight="1">
      <c r="A13" s="122" t="s">
        <v>230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7.399999999999999" customHeight="1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399999999999999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399999999999999" customHeight="1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399999999999999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3">
    <mergeCell ref="A1:K2"/>
    <mergeCell ref="A12:K12"/>
    <mergeCell ref="A13:K17"/>
  </mergeCells>
  <conditionalFormatting sqref="K4:K9">
    <cfRule type="dataBar" priority="1">
      <dataBar>
        <cfvo type="min"/>
        <cfvo type="max"/>
        <color rgb="FF2F75B5"/>
      </dataBar>
    </cfRule>
    <cfRule type="dataBar" priority="2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{56B70E29-0C7C-5821-D19D-36B2133ED504}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B70E29-0C7C-5821-D19D-36B2133ED504}">
            <x14:dataBar>
              <x14:cfvo type="min"/>
              <x14:cfvo type="max"/>
              <x14:negativeFillColor auto="1"/>
              <x14:axisColor auto="1"/>
            </x14:dataBar>
          </x14:cfRule>
          <xm:sqref>K4:K9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"/>
  <cols>
    <col min="1" max="18" width="13" customWidth="1"/>
  </cols>
  <sheetData>
    <row r="1" spans="1:26" ht="16" customHeight="1">
      <c r="A1" s="91" t="s">
        <v>231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3"/>
      <c r="T2" s="3"/>
      <c r="U2" s="3"/>
      <c r="V2" s="3"/>
      <c r="W2" s="3"/>
      <c r="X2" s="3"/>
      <c r="Y2" s="3"/>
      <c r="Z2" s="3"/>
    </row>
    <row r="3" spans="1:26" ht="14.5">
      <c r="A3" s="2" t="s">
        <v>232</v>
      </c>
      <c r="B3" s="2" t="s">
        <v>233</v>
      </c>
      <c r="C3" s="2" t="s">
        <v>234</v>
      </c>
      <c r="D3" s="2" t="s">
        <v>235</v>
      </c>
      <c r="E3" s="2" t="s">
        <v>236</v>
      </c>
      <c r="F3" s="2" t="s">
        <v>237</v>
      </c>
      <c r="G3" s="2" t="s">
        <v>238</v>
      </c>
      <c r="H3" s="2" t="s">
        <v>239</v>
      </c>
      <c r="I3" s="2" t="s">
        <v>240</v>
      </c>
      <c r="J3" s="2" t="s">
        <v>241</v>
      </c>
      <c r="K3" s="2" t="s">
        <v>242</v>
      </c>
      <c r="L3" s="2" t="s">
        <v>243</v>
      </c>
      <c r="M3" s="2" t="s">
        <v>244</v>
      </c>
      <c r="N3" s="2" t="s">
        <v>245</v>
      </c>
      <c r="O3" s="2" t="s">
        <v>246</v>
      </c>
      <c r="P3" s="2" t="s">
        <v>247</v>
      </c>
      <c r="Q3" s="2" t="s">
        <v>248</v>
      </c>
      <c r="R3" s="2" t="s">
        <v>249</v>
      </c>
      <c r="S3" s="3"/>
      <c r="T3" s="3"/>
      <c r="U3" s="3"/>
      <c r="V3" s="3"/>
      <c r="W3" s="3"/>
      <c r="X3" s="3"/>
      <c r="Y3" s="3"/>
      <c r="Z3" s="3"/>
    </row>
    <row r="4" spans="1:26" ht="14.5">
      <c r="A4" s="62">
        <v>6.25E-2</v>
      </c>
      <c r="B4" s="49">
        <v>1.3429E-2</v>
      </c>
      <c r="C4" s="62">
        <v>2.5000000000000001E-2</v>
      </c>
      <c r="D4" s="49">
        <v>4.9007E-3</v>
      </c>
      <c r="E4" s="62">
        <v>6.25E-2</v>
      </c>
      <c r="F4" s="49">
        <v>1.0945E-2</v>
      </c>
      <c r="G4" s="62">
        <v>6.25E-2</v>
      </c>
      <c r="H4" s="49">
        <v>2.8407000000000002E-2</v>
      </c>
      <c r="I4" s="62">
        <v>6.25E-2</v>
      </c>
      <c r="J4" s="49">
        <v>2.5558999999999998E-2</v>
      </c>
      <c r="K4" s="62">
        <v>6.25E-2</v>
      </c>
      <c r="L4" s="49">
        <v>2.0604000000000001E-2</v>
      </c>
      <c r="M4" s="62">
        <v>3.7499999999999999E-3</v>
      </c>
      <c r="N4" s="49">
        <v>2.6735999999999999E-3</v>
      </c>
      <c r="O4" s="62">
        <v>6.25E-2</v>
      </c>
      <c r="P4" s="49">
        <v>2.7823000000000001E-2</v>
      </c>
      <c r="Q4" s="62">
        <v>6.25E-2</v>
      </c>
      <c r="R4" s="49">
        <v>2.5557E-2</v>
      </c>
      <c r="S4" s="3"/>
      <c r="T4" s="3"/>
      <c r="U4" s="3"/>
      <c r="V4" s="3"/>
      <c r="W4" s="3"/>
      <c r="X4" s="3"/>
      <c r="Y4" s="3"/>
      <c r="Z4" s="3"/>
    </row>
    <row r="5" spans="1:26" ht="14.5">
      <c r="A5" s="63">
        <v>0.125</v>
      </c>
      <c r="B5" s="50">
        <v>2.6261E-2</v>
      </c>
      <c r="C5" s="63">
        <v>0.05</v>
      </c>
      <c r="D5" s="50">
        <v>9.7648000000000006E-3</v>
      </c>
      <c r="E5" s="63">
        <v>0.125</v>
      </c>
      <c r="F5" s="50">
        <v>2.1736999999999999E-2</v>
      </c>
      <c r="G5" s="63">
        <v>0.125</v>
      </c>
      <c r="H5" s="50">
        <v>5.6784000000000001E-2</v>
      </c>
      <c r="I5" s="63">
        <v>0.125</v>
      </c>
      <c r="J5" s="50">
        <v>5.1166000000000003E-2</v>
      </c>
      <c r="K5" s="63">
        <v>0.125</v>
      </c>
      <c r="L5" s="50">
        <v>4.1182000000000003E-2</v>
      </c>
      <c r="M5" s="63">
        <v>7.4999999999999997E-3</v>
      </c>
      <c r="N5" s="50">
        <v>5.3486000000000002E-3</v>
      </c>
      <c r="O5" s="63">
        <v>0.125</v>
      </c>
      <c r="P5" s="50">
        <v>5.5775999999999999E-2</v>
      </c>
      <c r="Q5" s="63">
        <v>0.125</v>
      </c>
      <c r="R5" s="50">
        <v>5.1220000000000002E-2</v>
      </c>
      <c r="S5" s="3"/>
      <c r="T5" s="3"/>
      <c r="U5" s="3"/>
      <c r="V5" s="3"/>
      <c r="W5" s="3"/>
      <c r="X5" s="3"/>
      <c r="Y5" s="3"/>
      <c r="Z5" s="3"/>
    </row>
    <row r="6" spans="1:26" ht="14.5">
      <c r="A6" s="63">
        <v>0.21875</v>
      </c>
      <c r="B6" s="50">
        <v>4.4260000000000001E-2</v>
      </c>
      <c r="C6" s="63">
        <v>8.7500000000000008E-2</v>
      </c>
      <c r="D6" s="50">
        <v>1.6989000000000001E-2</v>
      </c>
      <c r="E6" s="63">
        <v>0.21875</v>
      </c>
      <c r="F6" s="50">
        <v>3.7612E-2</v>
      </c>
      <c r="G6" s="63">
        <v>0.21875</v>
      </c>
      <c r="H6" s="50">
        <v>9.8996000000000001E-2</v>
      </c>
      <c r="I6" s="63">
        <v>0.21875</v>
      </c>
      <c r="J6" s="50">
        <v>8.9597999999999997E-2</v>
      </c>
      <c r="K6" s="63">
        <v>0.21875</v>
      </c>
      <c r="L6" s="50">
        <v>7.1961999999999998E-2</v>
      </c>
      <c r="M6" s="63">
        <v>1.3125000000000001E-2</v>
      </c>
      <c r="N6" s="50">
        <v>9.3638000000000002E-3</v>
      </c>
      <c r="O6" s="63">
        <v>0.21875</v>
      </c>
      <c r="P6" s="50">
        <v>9.7855999999999999E-2</v>
      </c>
      <c r="Q6" s="63">
        <v>0.21875</v>
      </c>
      <c r="R6" s="50">
        <v>8.9865E-2</v>
      </c>
      <c r="S6" s="3"/>
      <c r="T6" s="3"/>
      <c r="U6" s="3"/>
      <c r="V6" s="3"/>
      <c r="W6" s="3"/>
      <c r="X6" s="3"/>
      <c r="Y6" s="3"/>
      <c r="Z6" s="3"/>
    </row>
    <row r="7" spans="1:26" ht="14.5">
      <c r="A7" s="63">
        <v>0.359375</v>
      </c>
      <c r="B7" s="50">
        <v>6.7856E-2</v>
      </c>
      <c r="C7" s="63">
        <v>0.14375000000000002</v>
      </c>
      <c r="D7" s="50">
        <v>2.7654999999999999E-2</v>
      </c>
      <c r="E7" s="63">
        <v>0.359375</v>
      </c>
      <c r="F7" s="50">
        <v>6.0665999999999998E-2</v>
      </c>
      <c r="G7" s="63">
        <v>0.359375</v>
      </c>
      <c r="H7" s="50">
        <v>0.16073000000000001</v>
      </c>
      <c r="I7" s="63">
        <v>0.359375</v>
      </c>
      <c r="J7" s="50">
        <v>0.14704999999999999</v>
      </c>
      <c r="K7" s="63">
        <v>0.359375</v>
      </c>
      <c r="L7" s="50">
        <v>0.11779000000000001</v>
      </c>
      <c r="M7" s="63">
        <v>2.0625000000000001E-2</v>
      </c>
      <c r="N7" s="50">
        <v>1.4722000000000001E-2</v>
      </c>
      <c r="O7" s="63">
        <v>0.359375</v>
      </c>
      <c r="P7" s="50">
        <v>0.16089999999999999</v>
      </c>
      <c r="Q7" s="63">
        <v>0.359375</v>
      </c>
      <c r="R7" s="50">
        <v>0.14796999999999999</v>
      </c>
      <c r="S7" s="3"/>
      <c r="T7" s="3"/>
      <c r="U7" s="3"/>
      <c r="V7" s="3"/>
      <c r="W7" s="3"/>
      <c r="X7" s="3"/>
      <c r="Y7" s="3"/>
      <c r="Z7" s="3"/>
    </row>
    <row r="8" spans="1:26" ht="14.5">
      <c r="A8" s="63">
        <v>0.5703125</v>
      </c>
      <c r="B8" s="50">
        <v>9.5499000000000001E-2</v>
      </c>
      <c r="C8" s="63">
        <v>0.20625000000000002</v>
      </c>
      <c r="D8" s="50">
        <v>3.9246000000000003E-2</v>
      </c>
      <c r="E8" s="63">
        <v>0.5703125</v>
      </c>
      <c r="F8" s="50">
        <v>9.3023999999999996E-2</v>
      </c>
      <c r="G8" s="63">
        <v>0.5703125</v>
      </c>
      <c r="H8" s="50">
        <v>0.26308999999999999</v>
      </c>
      <c r="I8" s="63">
        <v>0.5703125</v>
      </c>
      <c r="J8" s="50">
        <v>0.23158000000000001</v>
      </c>
      <c r="K8" s="63">
        <v>0.5703125</v>
      </c>
      <c r="L8" s="50">
        <v>0.18529000000000001</v>
      </c>
      <c r="M8" s="63">
        <v>2.8124999999999997E-2</v>
      </c>
      <c r="N8" s="50">
        <v>2.0087000000000001E-2</v>
      </c>
      <c r="O8" s="63">
        <v>0.5703125</v>
      </c>
      <c r="P8" s="50">
        <v>0.25475999999999999</v>
      </c>
      <c r="Q8" s="63">
        <v>0.5703125</v>
      </c>
      <c r="R8" s="50">
        <v>0.23513999999999999</v>
      </c>
      <c r="S8" s="3"/>
      <c r="T8" s="3"/>
      <c r="U8" s="3"/>
      <c r="V8" s="3"/>
      <c r="W8" s="3"/>
      <c r="X8" s="3"/>
      <c r="Y8" s="3"/>
      <c r="Z8" s="3"/>
    </row>
    <row r="9" spans="1:26" ht="14.5">
      <c r="A9" s="63">
        <v>0.65781250000000002</v>
      </c>
      <c r="B9" s="50">
        <v>0.1124</v>
      </c>
      <c r="C9" s="63">
        <v>0.26874999999999999</v>
      </c>
      <c r="D9" s="50">
        <v>5.0535999999999998E-2</v>
      </c>
      <c r="E9" s="63">
        <v>0.8203125</v>
      </c>
      <c r="F9" s="50">
        <v>0.12758</v>
      </c>
      <c r="G9" s="63">
        <v>0.78125</v>
      </c>
      <c r="H9" s="50">
        <v>0.49070999999999998</v>
      </c>
      <c r="I9" s="63">
        <v>0.8203125</v>
      </c>
      <c r="J9" s="50">
        <v>0.32634999999999997</v>
      </c>
      <c r="K9" s="63">
        <v>0.8203125</v>
      </c>
      <c r="L9" s="50">
        <v>0.26174999999999998</v>
      </c>
      <c r="M9" s="63">
        <v>3.5625000000000004E-2</v>
      </c>
      <c r="N9" s="50">
        <v>2.5455999999999999E-2</v>
      </c>
      <c r="O9" s="63">
        <v>0.8203125</v>
      </c>
      <c r="P9" s="50">
        <v>0.38357999999999998</v>
      </c>
      <c r="Q9" s="63">
        <v>0.8203125</v>
      </c>
      <c r="R9" s="50">
        <v>0.33639999999999998</v>
      </c>
      <c r="S9" s="3"/>
      <c r="T9" s="3"/>
      <c r="U9" s="3"/>
      <c r="V9" s="3"/>
      <c r="W9" s="3"/>
      <c r="X9" s="3"/>
      <c r="Y9" s="3"/>
      <c r="Z9" s="3"/>
    </row>
    <row r="10" spans="1:26" ht="14.5">
      <c r="A10" s="63">
        <v>0.74531249999999993</v>
      </c>
      <c r="B10" s="50">
        <v>0.15198</v>
      </c>
      <c r="C10" s="63">
        <v>0.33125000000000004</v>
      </c>
      <c r="D10" s="50">
        <v>6.1498999999999998E-2</v>
      </c>
      <c r="E10" s="63">
        <v>1.0703125</v>
      </c>
      <c r="F10" s="50">
        <v>0.15845999999999999</v>
      </c>
      <c r="G10" s="63">
        <v>0.86874999999999991</v>
      </c>
      <c r="H10" s="50">
        <v>0.60424</v>
      </c>
      <c r="I10" s="63">
        <v>1.0703125</v>
      </c>
      <c r="J10" s="50">
        <v>0.42595</v>
      </c>
      <c r="K10" s="63">
        <v>1.0703125</v>
      </c>
      <c r="L10" s="50">
        <v>0.33187</v>
      </c>
      <c r="M10" s="63">
        <v>4.3125000000000004E-2</v>
      </c>
      <c r="N10" s="50">
        <v>3.0831000000000001E-2</v>
      </c>
      <c r="O10" s="63">
        <v>1.0703125</v>
      </c>
      <c r="P10" s="50">
        <v>0.60392999999999997</v>
      </c>
      <c r="Q10" s="63">
        <v>1.0703125</v>
      </c>
      <c r="R10" s="50">
        <v>0.45948</v>
      </c>
      <c r="S10" s="3"/>
      <c r="T10" s="3"/>
      <c r="U10" s="3"/>
      <c r="V10" s="3"/>
      <c r="W10" s="3"/>
      <c r="X10" s="3"/>
      <c r="Y10" s="3"/>
      <c r="Z10" s="3"/>
    </row>
    <row r="11" spans="1:26" ht="14.5">
      <c r="A11" s="63">
        <v>0.87656250000000002</v>
      </c>
      <c r="B11" s="50">
        <v>0.21482000000000001</v>
      </c>
      <c r="C11" s="63">
        <v>0.39374999999999999</v>
      </c>
      <c r="D11" s="50">
        <v>7.2107000000000004E-2</v>
      </c>
      <c r="E11" s="64">
        <v>1.25</v>
      </c>
      <c r="F11" s="52">
        <v>0.18224000000000001</v>
      </c>
      <c r="G11" s="63">
        <v>0.95625000000000004</v>
      </c>
      <c r="H11" s="50">
        <v>0.7228</v>
      </c>
      <c r="I11" s="64">
        <v>1.25</v>
      </c>
      <c r="J11" s="52">
        <v>0.52946000000000004</v>
      </c>
      <c r="K11" s="64">
        <v>1.25</v>
      </c>
      <c r="L11" s="52">
        <v>0.38815</v>
      </c>
      <c r="M11" s="63">
        <v>5.0625000000000003E-2</v>
      </c>
      <c r="N11" s="50">
        <v>3.6211E-2</v>
      </c>
      <c r="O11" s="64">
        <v>1.25</v>
      </c>
      <c r="P11" s="52">
        <v>0.80257999999999996</v>
      </c>
      <c r="Q11" s="64">
        <v>1.25</v>
      </c>
      <c r="R11" s="52">
        <v>0.58160999999999996</v>
      </c>
      <c r="S11" s="3"/>
      <c r="T11" s="3"/>
      <c r="U11" s="3"/>
      <c r="V11" s="3"/>
      <c r="W11" s="3"/>
      <c r="X11" s="3"/>
      <c r="Y11" s="3"/>
      <c r="Z11" s="3"/>
    </row>
    <row r="12" spans="1:26" ht="14.5">
      <c r="A12" s="63">
        <v>1.0734375</v>
      </c>
      <c r="B12" s="50">
        <v>0.31269999999999998</v>
      </c>
      <c r="C12" s="63">
        <v>0.45624999999999999</v>
      </c>
      <c r="D12" s="50">
        <v>8.233E-2</v>
      </c>
      <c r="E12" s="3"/>
      <c r="F12" s="3"/>
      <c r="G12" s="63">
        <v>1.0874999999999999</v>
      </c>
      <c r="H12" s="50">
        <v>0.91639000000000004</v>
      </c>
      <c r="I12" s="3"/>
      <c r="J12" s="3"/>
      <c r="K12" s="3"/>
      <c r="L12" s="3"/>
      <c r="M12" s="63">
        <v>5.8124999999999996E-2</v>
      </c>
      <c r="N12" s="50">
        <v>4.1596000000000001E-2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63">
        <v>1.1352375000000001</v>
      </c>
      <c r="B13" s="50">
        <v>0.33812999999999999</v>
      </c>
      <c r="C13" s="63">
        <v>0.51874999999999993</v>
      </c>
      <c r="D13" s="50">
        <v>9.2137999999999998E-2</v>
      </c>
      <c r="E13" s="3"/>
      <c r="F13" s="3"/>
      <c r="G13" s="64">
        <v>1.25</v>
      </c>
      <c r="H13" s="52">
        <v>1.1660999999999999</v>
      </c>
      <c r="I13" s="3"/>
      <c r="J13" s="3"/>
      <c r="K13" s="3"/>
      <c r="L13" s="3"/>
      <c r="M13" s="63">
        <v>6.5624999999999989E-2</v>
      </c>
      <c r="N13" s="50">
        <v>4.6984999999999999E-2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63">
        <v>1.197025</v>
      </c>
      <c r="B14" s="50">
        <v>0.36823</v>
      </c>
      <c r="C14" s="63">
        <v>0.58125000000000004</v>
      </c>
      <c r="D14" s="50">
        <v>0.10150000000000001</v>
      </c>
      <c r="E14" s="3"/>
      <c r="F14" s="3"/>
      <c r="G14" s="3"/>
      <c r="H14" s="3"/>
      <c r="I14" s="3"/>
      <c r="J14" s="3"/>
      <c r="K14" s="3"/>
      <c r="L14" s="3"/>
      <c r="M14" s="63">
        <v>7.3124999999999996E-2</v>
      </c>
      <c r="N14" s="50">
        <v>5.2379000000000002E-2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64">
        <v>1.25</v>
      </c>
      <c r="B15" s="52">
        <v>0.39382</v>
      </c>
      <c r="C15" s="63">
        <v>0.64375000000000004</v>
      </c>
      <c r="D15" s="50">
        <v>0.11064</v>
      </c>
      <c r="E15" s="3"/>
      <c r="F15" s="3"/>
      <c r="G15" s="3"/>
      <c r="H15" s="3"/>
      <c r="I15" s="3"/>
      <c r="J15" s="3"/>
      <c r="K15" s="3"/>
      <c r="L15" s="3"/>
      <c r="M15" s="63">
        <v>8.0625000000000002E-2</v>
      </c>
      <c r="N15" s="50">
        <v>5.7778000000000003E-2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63">
        <v>0.70624999999999993</v>
      </c>
      <c r="D16" s="50">
        <v>0.12039999999999999</v>
      </c>
      <c r="E16" s="3"/>
      <c r="F16" s="3"/>
      <c r="G16" s="3"/>
      <c r="H16" s="3"/>
      <c r="I16" s="3"/>
      <c r="J16" s="3"/>
      <c r="K16" s="3"/>
      <c r="L16" s="3"/>
      <c r="M16" s="63">
        <v>8.8124999999999995E-2</v>
      </c>
      <c r="N16" s="50">
        <v>6.3181000000000001E-2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63">
        <v>0.76875000000000004</v>
      </c>
      <c r="D17" s="50">
        <v>0.12995999999999999</v>
      </c>
      <c r="E17" s="3"/>
      <c r="F17" s="3"/>
      <c r="G17" s="3"/>
      <c r="H17" s="3"/>
      <c r="I17" s="3"/>
      <c r="J17" s="3"/>
      <c r="K17" s="3"/>
      <c r="L17" s="3"/>
      <c r="M17" s="63">
        <v>9.5625000000000002E-2</v>
      </c>
      <c r="N17" s="50">
        <v>6.8588999999999997E-2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63">
        <v>0.83125000000000004</v>
      </c>
      <c r="D18" s="50">
        <v>0.14194000000000001</v>
      </c>
      <c r="E18" s="3"/>
      <c r="F18" s="3"/>
      <c r="G18" s="3"/>
      <c r="H18" s="3"/>
      <c r="I18" s="3"/>
      <c r="J18" s="3"/>
      <c r="K18" s="3"/>
      <c r="L18" s="3"/>
      <c r="M18" s="63">
        <v>0.10312500000000001</v>
      </c>
      <c r="N18" s="50">
        <v>7.3999999999999996E-2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63">
        <v>0.89374999999999993</v>
      </c>
      <c r="D19" s="50">
        <v>0.156</v>
      </c>
      <c r="E19" s="3"/>
      <c r="F19" s="3"/>
      <c r="G19" s="3"/>
      <c r="H19" s="3"/>
      <c r="I19" s="3"/>
      <c r="J19" s="3"/>
      <c r="K19" s="3"/>
      <c r="L19" s="3"/>
      <c r="M19" s="63">
        <v>0.110625</v>
      </c>
      <c r="N19" s="50">
        <v>7.9416E-2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63">
        <v>0.95625000000000004</v>
      </c>
      <c r="D20" s="50">
        <v>0.17047000000000001</v>
      </c>
      <c r="E20" s="3"/>
      <c r="F20" s="3"/>
      <c r="G20" s="3"/>
      <c r="H20" s="3"/>
      <c r="I20" s="3"/>
      <c r="J20" s="3"/>
      <c r="K20" s="3"/>
      <c r="L20" s="3"/>
      <c r="M20" s="63">
        <v>0.11812500000000001</v>
      </c>
      <c r="N20" s="50">
        <v>8.4834999999999994E-2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63">
        <v>1.0187499999999998</v>
      </c>
      <c r="D21" s="50">
        <v>0.18629000000000001</v>
      </c>
      <c r="E21" s="3"/>
      <c r="F21" s="3"/>
      <c r="G21" s="3"/>
      <c r="H21" s="3"/>
      <c r="I21" s="3"/>
      <c r="J21" s="3"/>
      <c r="K21" s="3"/>
      <c r="L21" s="3"/>
      <c r="M21" s="63">
        <v>0.12562500000000001</v>
      </c>
      <c r="N21" s="50">
        <v>9.0257000000000004E-2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63">
        <v>1.08125</v>
      </c>
      <c r="D22" s="50">
        <v>0.20280999999999999</v>
      </c>
      <c r="E22" s="3"/>
      <c r="F22" s="3"/>
      <c r="G22" s="3"/>
      <c r="H22" s="3"/>
      <c r="I22" s="3"/>
      <c r="J22" s="3"/>
      <c r="K22" s="3"/>
      <c r="L22" s="3"/>
      <c r="M22" s="63">
        <v>0.13312499999999999</v>
      </c>
      <c r="N22" s="50">
        <v>9.5683000000000004E-2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63">
        <v>1.14375</v>
      </c>
      <c r="D23" s="50">
        <v>0.22066</v>
      </c>
      <c r="E23" s="3"/>
      <c r="F23" s="3"/>
      <c r="G23" s="3"/>
      <c r="H23" s="3"/>
      <c r="I23" s="3"/>
      <c r="J23" s="3"/>
      <c r="K23" s="3"/>
      <c r="L23" s="3"/>
      <c r="M23" s="63">
        <v>0.140625</v>
      </c>
      <c r="N23" s="50">
        <v>0.10111000000000001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63">
        <v>1.20625</v>
      </c>
      <c r="D24" s="50">
        <v>0.23935000000000001</v>
      </c>
      <c r="E24" s="3"/>
      <c r="F24" s="3"/>
      <c r="G24" s="3"/>
      <c r="H24" s="3"/>
      <c r="I24" s="3"/>
      <c r="J24" s="3"/>
      <c r="K24" s="3"/>
      <c r="L24" s="3"/>
      <c r="M24" s="63">
        <v>0.14812500000000001</v>
      </c>
      <c r="N24" s="50">
        <v>0.10655000000000001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64">
        <v>1.25</v>
      </c>
      <c r="D25" s="52">
        <v>0.25363000000000002</v>
      </c>
      <c r="E25" s="3"/>
      <c r="F25" s="3"/>
      <c r="G25" s="3"/>
      <c r="H25" s="3"/>
      <c r="I25" s="3"/>
      <c r="J25" s="3"/>
      <c r="K25" s="3"/>
      <c r="L25" s="3"/>
      <c r="M25" s="63">
        <v>0.15562499999999999</v>
      </c>
      <c r="N25" s="50">
        <v>0.11198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63">
        <v>0.16312499999999999</v>
      </c>
      <c r="N26" s="50">
        <v>0.11742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121" t="s">
        <v>250</v>
      </c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3">
        <v>0.170625</v>
      </c>
      <c r="N27" s="124">
        <v>0.12286</v>
      </c>
      <c r="O27" s="121"/>
      <c r="P27" s="121"/>
      <c r="Q27" s="121"/>
      <c r="R27" s="121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3">
        <v>0.17812499999999998</v>
      </c>
      <c r="N28" s="50">
        <v>0.1283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63">
        <v>0.18562499999999998</v>
      </c>
      <c r="N29" s="50">
        <v>0.13375000000000001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63">
        <v>0.19312499999999999</v>
      </c>
      <c r="N30" s="50">
        <v>0.13919999999999999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63">
        <v>0.200625</v>
      </c>
      <c r="N31" s="50">
        <v>0.14463999999999999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63">
        <v>0.208125</v>
      </c>
      <c r="N32" s="50">
        <v>0.15010000000000001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63">
        <v>0.21562499999999998</v>
      </c>
      <c r="N33" s="50">
        <v>0.15554999999999999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63">
        <v>0.22312499999999999</v>
      </c>
      <c r="N34" s="50">
        <v>0.161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63">
        <v>0.230625</v>
      </c>
      <c r="N35" s="50">
        <v>0.16646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63">
        <v>0.238125</v>
      </c>
      <c r="N36" s="50">
        <v>0.17191999999999999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63">
        <v>0.24562500000000001</v>
      </c>
      <c r="N37" s="50">
        <v>0.17737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63">
        <v>0.25312500000000004</v>
      </c>
      <c r="N38" s="50">
        <v>0.18282999999999999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63">
        <v>0.260625</v>
      </c>
      <c r="N39" s="50">
        <v>0.18829000000000001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63">
        <v>0.268125</v>
      </c>
      <c r="N40" s="50">
        <v>0.19375000000000001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63">
        <v>0.27562500000000001</v>
      </c>
      <c r="N41" s="50">
        <v>0.19921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63">
        <v>0.28312500000000002</v>
      </c>
      <c r="N42" s="50">
        <v>0.20466999999999999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63">
        <v>0.29062500000000002</v>
      </c>
      <c r="N43" s="50">
        <v>0.21013000000000001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3">
        <v>0.29812500000000003</v>
      </c>
      <c r="N44" s="50">
        <v>0.21559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3">
        <v>0.30562499999999998</v>
      </c>
      <c r="N45" s="50">
        <v>0.22105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63">
        <v>0.31312499999999999</v>
      </c>
      <c r="N46" s="50">
        <v>0.22650999999999999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63">
        <v>0.32062499999999999</v>
      </c>
      <c r="N47" s="50">
        <v>0.23197000000000001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63">
        <v>0.328125</v>
      </c>
      <c r="N48" s="50">
        <v>0.23741999999999999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63">
        <v>0.33562500000000001</v>
      </c>
      <c r="N49" s="50">
        <v>0.24288000000000001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63">
        <v>0.34312500000000001</v>
      </c>
      <c r="N50" s="50">
        <v>0.24834000000000001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63">
        <v>0.35062500000000002</v>
      </c>
      <c r="N51" s="50">
        <v>0.25379000000000002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63">
        <v>0.35812499999999997</v>
      </c>
      <c r="N52" s="50">
        <v>0.25924000000000003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63">
        <v>0.36562499999999998</v>
      </c>
      <c r="N53" s="50">
        <v>0.26469999999999999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63">
        <v>0.37312499999999998</v>
      </c>
      <c r="N54" s="50">
        <v>0.27015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63">
        <v>0.38062499999999999</v>
      </c>
      <c r="N55" s="50">
        <v>0.27560000000000001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63">
        <v>0.38812499999999994</v>
      </c>
      <c r="N56" s="50">
        <v>0.28104000000000001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63">
        <v>0.395625</v>
      </c>
      <c r="N57" s="50">
        <v>0.28649000000000002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63">
        <v>0.40312499999999996</v>
      </c>
      <c r="N58" s="50">
        <v>0.29193000000000002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63">
        <v>0.41062500000000002</v>
      </c>
      <c r="N59" s="50">
        <v>0.29737000000000002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63">
        <v>0.41812499999999997</v>
      </c>
      <c r="N60" s="50">
        <v>0.30281000000000002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63">
        <v>0.42562500000000003</v>
      </c>
      <c r="N61" s="50">
        <v>0.30825000000000002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63">
        <v>0.43312499999999998</v>
      </c>
      <c r="N62" s="50">
        <v>0.31368000000000001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63">
        <v>0.44062500000000004</v>
      </c>
      <c r="N63" s="50">
        <v>0.31912000000000001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63">
        <v>0.448125</v>
      </c>
      <c r="N64" s="50">
        <v>0.32455000000000001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63">
        <v>0.45562500000000006</v>
      </c>
      <c r="N65" s="50">
        <v>0.32996999999999999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63">
        <v>0.46312500000000001</v>
      </c>
      <c r="N66" s="50">
        <v>0.33539999999999998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63">
        <v>0.47062499999999996</v>
      </c>
      <c r="N67" s="50">
        <v>0.34082000000000001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63">
        <v>0.47812499999999997</v>
      </c>
      <c r="N68" s="50">
        <v>0.34623999999999999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63">
        <v>0.48562499999999997</v>
      </c>
      <c r="N69" s="50">
        <v>0.35215000000000002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63">
        <v>0.49312499999999998</v>
      </c>
      <c r="N70" s="50">
        <v>0.35913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63">
        <v>0.50062499999999999</v>
      </c>
      <c r="N71" s="50">
        <v>0.36642000000000002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63">
        <v>0.50812499999999994</v>
      </c>
      <c r="N72" s="50">
        <v>0.37413000000000002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63">
        <v>0.515625</v>
      </c>
      <c r="N73" s="50">
        <v>0.38258999999999999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63">
        <v>0.52312500000000006</v>
      </c>
      <c r="N74" s="50">
        <v>0.39143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63">
        <v>0.53062500000000001</v>
      </c>
      <c r="N75" s="50">
        <v>0.40106999999999998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63">
        <v>0.53812499999999996</v>
      </c>
      <c r="N76" s="50">
        <v>0.41094000000000003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63">
        <v>0.54562500000000003</v>
      </c>
      <c r="N77" s="50">
        <v>0.42087000000000002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63">
        <v>0.55312500000000009</v>
      </c>
      <c r="N78" s="50">
        <v>0.43092999999999998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3">
        <v>0.56062500000000004</v>
      </c>
      <c r="N79" s="50">
        <v>0.44146000000000002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63">
        <v>0.57562499999999994</v>
      </c>
      <c r="N80" s="50">
        <v>0.46318999999999999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63">
        <v>0.583125</v>
      </c>
      <c r="N81" s="50">
        <v>0.47425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63">
        <v>0.59062499999999996</v>
      </c>
      <c r="N82" s="50">
        <v>0.48569000000000001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63">
        <v>0.59812500000000002</v>
      </c>
      <c r="N83" s="50">
        <v>0.49747999999999998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63">
        <v>0.60562499999999997</v>
      </c>
      <c r="N84" s="50">
        <v>0.50938000000000005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63">
        <v>0.61312500000000003</v>
      </c>
      <c r="N85" s="50">
        <v>0.52203999999999995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63">
        <v>0.62062499999999998</v>
      </c>
      <c r="N86" s="50">
        <v>0.53510999999999997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63">
        <v>0.62812500000000004</v>
      </c>
      <c r="N87" s="50">
        <v>0.54890000000000005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63">
        <v>0.635625</v>
      </c>
      <c r="N88" s="50">
        <v>0.56298999999999999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63">
        <v>0.64312500000000006</v>
      </c>
      <c r="N89" s="50">
        <v>0.57735000000000003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63">
        <v>0.65062500000000001</v>
      </c>
      <c r="N90" s="50">
        <v>0.59182999999999997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63">
        <v>0.65812499999999996</v>
      </c>
      <c r="N91" s="50">
        <v>0.60643999999999998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63">
        <v>0.66562499999999991</v>
      </c>
      <c r="N92" s="50">
        <v>0.62117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63">
        <v>0.67312499999999997</v>
      </c>
      <c r="N93" s="50">
        <v>0.63602000000000003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63">
        <v>0.68062500000000004</v>
      </c>
      <c r="N94" s="50">
        <v>0.65103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63">
        <v>0.68812499999999999</v>
      </c>
      <c r="N95" s="50">
        <v>0.66617000000000004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63">
        <v>0.69562499999999994</v>
      </c>
      <c r="N96" s="50">
        <v>0.68144000000000005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63">
        <v>0.703125</v>
      </c>
      <c r="N97" s="50">
        <v>0.69686000000000003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63">
        <v>0.71062500000000006</v>
      </c>
      <c r="N98" s="50">
        <v>0.71235999999999999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63">
        <v>0.71812500000000001</v>
      </c>
      <c r="N99" s="50">
        <v>0.72801000000000005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63">
        <v>0.72562499999999996</v>
      </c>
      <c r="N100" s="50">
        <v>0.74377000000000004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63">
        <v>0.73312500000000003</v>
      </c>
      <c r="N101" s="50">
        <v>0.75563999999999998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63">
        <v>0.74062500000000009</v>
      </c>
      <c r="N102" s="50">
        <v>0.77075000000000005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63">
        <v>0.74531250000000004</v>
      </c>
      <c r="N103" s="50">
        <v>0.78097000000000005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63">
        <v>0.75</v>
      </c>
      <c r="N104" s="50">
        <v>0.79113999999999995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3">
        <v>0.85</v>
      </c>
      <c r="N105" s="50">
        <v>1.0209999999999999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63">
        <v>0.95</v>
      </c>
      <c r="N106" s="50">
        <v>1.2434000000000001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63">
        <v>1.1000000000000001</v>
      </c>
      <c r="N107" s="50">
        <v>1.6531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3">
        <v>1.12625</v>
      </c>
      <c r="N108" s="50">
        <v>1.6981999999999999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3">
        <v>1.1394</v>
      </c>
      <c r="N109" s="50">
        <v>1.7302999999999999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3">
        <v>1.1426500000000002</v>
      </c>
      <c r="N110" s="50">
        <v>1.7572000000000001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4">
        <v>1.25</v>
      </c>
      <c r="N111" s="52">
        <v>1.621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R2"/>
    <mergeCell ref="A27:R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defaultRowHeight="14"/>
  <cols>
    <col min="1" max="1" width="7" customWidth="1"/>
    <col min="2" max="2" width="24" customWidth="1"/>
    <col min="3" max="4" width="48" customWidth="1"/>
    <col min="5" max="5" width="42" customWidth="1"/>
    <col min="6" max="6" width="26" customWidth="1"/>
    <col min="7" max="7" width="45" customWidth="1"/>
    <col min="8" max="8" width="18" customWidth="1"/>
  </cols>
  <sheetData>
    <row r="1" spans="1:26" ht="16" customHeight="1">
      <c r="A1" s="91" t="s">
        <v>251</v>
      </c>
      <c r="B1" s="91"/>
      <c r="C1" s="91"/>
      <c r="D1" s="91"/>
      <c r="E1" s="91"/>
      <c r="F1" s="91"/>
      <c r="G1" s="91"/>
      <c r="H1" s="9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91"/>
      <c r="H2" s="9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>
      <c r="A3" s="2" t="s">
        <v>9</v>
      </c>
      <c r="B3" s="2" t="s">
        <v>10</v>
      </c>
      <c r="C3" s="2" t="s">
        <v>252</v>
      </c>
      <c r="D3" s="2" t="s">
        <v>253</v>
      </c>
      <c r="E3" s="2" t="s">
        <v>254</v>
      </c>
      <c r="F3" s="2" t="s">
        <v>199</v>
      </c>
      <c r="G3" s="2" t="s">
        <v>255</v>
      </c>
      <c r="H3" s="2" t="s">
        <v>256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58.65" customHeight="1">
      <c r="A4" s="4">
        <v>1</v>
      </c>
      <c r="B4" s="6" t="s">
        <v>257</v>
      </c>
      <c r="C4" s="6" t="s">
        <v>258</v>
      </c>
      <c r="D4" s="6" t="s">
        <v>259</v>
      </c>
      <c r="E4" s="6" t="s">
        <v>260</v>
      </c>
      <c r="F4" s="6" t="s">
        <v>201</v>
      </c>
      <c r="G4" s="6" t="s">
        <v>202</v>
      </c>
      <c r="H4" s="8" t="s">
        <v>261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58.65" customHeight="1">
      <c r="A5" s="9">
        <v>2</v>
      </c>
      <c r="B5" s="10" t="s">
        <v>262</v>
      </c>
      <c r="C5" s="10" t="s">
        <v>263</v>
      </c>
      <c r="D5" s="10" t="s">
        <v>264</v>
      </c>
      <c r="E5" s="10" t="s">
        <v>265</v>
      </c>
      <c r="F5" s="10" t="s">
        <v>201</v>
      </c>
      <c r="G5" s="10" t="s">
        <v>203</v>
      </c>
      <c r="H5" s="12" t="s">
        <v>266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8.65" customHeight="1">
      <c r="A6" s="9">
        <v>3</v>
      </c>
      <c r="B6" s="10" t="s">
        <v>267</v>
      </c>
      <c r="C6" s="10" t="s">
        <v>268</v>
      </c>
      <c r="D6" s="10" t="s">
        <v>269</v>
      </c>
      <c r="E6" s="10" t="s">
        <v>270</v>
      </c>
      <c r="F6" s="10" t="s">
        <v>201</v>
      </c>
      <c r="G6" s="10" t="s">
        <v>204</v>
      </c>
      <c r="H6" s="12" t="s">
        <v>271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8.65" customHeight="1">
      <c r="A7" s="9">
        <v>4</v>
      </c>
      <c r="B7" s="10" t="s">
        <v>272</v>
      </c>
      <c r="C7" s="10" t="s">
        <v>273</v>
      </c>
      <c r="D7" s="10" t="s">
        <v>274</v>
      </c>
      <c r="E7" s="10" t="s">
        <v>275</v>
      </c>
      <c r="F7" s="10" t="s">
        <v>3</v>
      </c>
      <c r="G7" s="10" t="s">
        <v>205</v>
      </c>
      <c r="H7" s="12" t="s">
        <v>276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8.65" customHeight="1">
      <c r="A8" s="9">
        <v>5</v>
      </c>
      <c r="B8" s="10" t="s">
        <v>277</v>
      </c>
      <c r="C8" s="10" t="s">
        <v>278</v>
      </c>
      <c r="D8" s="10" t="s">
        <v>279</v>
      </c>
      <c r="E8" s="10" t="s">
        <v>280</v>
      </c>
      <c r="F8" s="10" t="s">
        <v>206</v>
      </c>
      <c r="G8" s="10" t="s">
        <v>207</v>
      </c>
      <c r="H8" s="12" t="s">
        <v>281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8.65" customHeight="1">
      <c r="A9" s="9">
        <v>6</v>
      </c>
      <c r="B9" s="10" t="s">
        <v>282</v>
      </c>
      <c r="C9" s="10" t="s">
        <v>283</v>
      </c>
      <c r="D9" s="10" t="s">
        <v>284</v>
      </c>
      <c r="E9" s="10" t="s">
        <v>285</v>
      </c>
      <c r="F9" s="10" t="s">
        <v>1</v>
      </c>
      <c r="G9" s="10" t="s">
        <v>208</v>
      </c>
      <c r="H9" s="12" t="s">
        <v>286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8.65" customHeight="1">
      <c r="A10" s="9">
        <v>7</v>
      </c>
      <c r="B10" s="10" t="s">
        <v>287</v>
      </c>
      <c r="C10" s="10" t="s">
        <v>288</v>
      </c>
      <c r="D10" s="10" t="s">
        <v>289</v>
      </c>
      <c r="E10" s="10" t="s">
        <v>290</v>
      </c>
      <c r="F10" s="10" t="s">
        <v>209</v>
      </c>
      <c r="G10" s="10" t="s">
        <v>210</v>
      </c>
      <c r="H10" s="12" t="s">
        <v>291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58.65" customHeight="1">
      <c r="A11" s="9">
        <v>8</v>
      </c>
      <c r="B11" s="10" t="s">
        <v>292</v>
      </c>
      <c r="C11" s="10" t="s">
        <v>293</v>
      </c>
      <c r="D11" s="10" t="s">
        <v>294</v>
      </c>
      <c r="E11" s="10" t="s">
        <v>295</v>
      </c>
      <c r="F11" s="10" t="s">
        <v>211</v>
      </c>
      <c r="G11" s="10" t="s">
        <v>212</v>
      </c>
      <c r="H11" s="12" t="s">
        <v>296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8.65" customHeight="1">
      <c r="A12" s="44">
        <v>9</v>
      </c>
      <c r="B12" s="47" t="s">
        <v>297</v>
      </c>
      <c r="C12" s="47" t="s">
        <v>298</v>
      </c>
      <c r="D12" s="47" t="s">
        <v>299</v>
      </c>
      <c r="E12" s="47" t="s">
        <v>300</v>
      </c>
      <c r="F12" s="47" t="s">
        <v>213</v>
      </c>
      <c r="G12" s="47" t="s">
        <v>214</v>
      </c>
      <c r="H12" s="48" t="s">
        <v>301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1">
    <mergeCell ref="A1:H2"/>
  </mergeCells>
  <conditionalFormatting sqref="F4:F12">
    <cfRule type="expression" dxfId="3" priority="1">
      <formula>ISNUMBER(SEARCH("FAIL",F4))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defaultRowHeight="14"/>
  <cols>
    <col min="1" max="1" width="7" customWidth="1"/>
    <col min="2" max="2" width="22" customWidth="1"/>
    <col min="3" max="3" width="18" customWidth="1"/>
    <col min="4" max="4" width="30" customWidth="1"/>
    <col min="5" max="5" width="48" customWidth="1"/>
    <col min="6" max="6" width="38" customWidth="1"/>
  </cols>
  <sheetData>
    <row r="1" spans="1:26" ht="16" customHeight="1">
      <c r="A1" s="91" t="s">
        <v>302</v>
      </c>
      <c r="B1" s="91"/>
      <c r="C1" s="91"/>
      <c r="D1" s="91"/>
      <c r="E1" s="91"/>
      <c r="F1" s="9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" customHeight="1">
      <c r="A2" s="91"/>
      <c r="B2" s="91"/>
      <c r="C2" s="91"/>
      <c r="D2" s="91"/>
      <c r="E2" s="91"/>
      <c r="F2" s="9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5">
      <c r="A3" s="2" t="s">
        <v>9</v>
      </c>
      <c r="B3" s="2" t="s">
        <v>303</v>
      </c>
      <c r="C3" s="2" t="s">
        <v>304</v>
      </c>
      <c r="D3" s="2" t="s">
        <v>305</v>
      </c>
      <c r="E3" s="2" t="s">
        <v>306</v>
      </c>
      <c r="F3" s="2" t="s">
        <v>307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" customHeight="1">
      <c r="A4" s="4">
        <v>1</v>
      </c>
      <c r="B4" s="6" t="s">
        <v>261</v>
      </c>
      <c r="C4" s="6" t="s">
        <v>308</v>
      </c>
      <c r="D4" s="6" t="s">
        <v>309</v>
      </c>
      <c r="E4" s="6" t="s">
        <v>310</v>
      </c>
      <c r="F4" s="8" t="s">
        <v>311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" customHeight="1">
      <c r="A5" s="9">
        <v>2</v>
      </c>
      <c r="B5" s="10" t="s">
        <v>266</v>
      </c>
      <c r="C5" s="10" t="s">
        <v>308</v>
      </c>
      <c r="D5" s="10" t="s">
        <v>309</v>
      </c>
      <c r="E5" s="10" t="s">
        <v>310</v>
      </c>
      <c r="F5" s="12" t="s">
        <v>311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" customHeight="1">
      <c r="A6" s="9">
        <v>3</v>
      </c>
      <c r="B6" s="10" t="s">
        <v>271</v>
      </c>
      <c r="C6" s="10" t="s">
        <v>308</v>
      </c>
      <c r="D6" s="10" t="s">
        <v>309</v>
      </c>
      <c r="E6" s="10" t="s">
        <v>310</v>
      </c>
      <c r="F6" s="12" t="s">
        <v>311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" customHeight="1">
      <c r="A7" s="9">
        <v>4</v>
      </c>
      <c r="B7" s="10" t="s">
        <v>276</v>
      </c>
      <c r="C7" s="10" t="s">
        <v>308</v>
      </c>
      <c r="D7" s="10" t="s">
        <v>309</v>
      </c>
      <c r="E7" s="10" t="s">
        <v>310</v>
      </c>
      <c r="F7" s="12" t="s">
        <v>311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" customHeight="1">
      <c r="A8" s="9">
        <v>5</v>
      </c>
      <c r="B8" s="10" t="s">
        <v>281</v>
      </c>
      <c r="C8" s="10" t="s">
        <v>308</v>
      </c>
      <c r="D8" s="10" t="s">
        <v>309</v>
      </c>
      <c r="E8" s="10" t="s">
        <v>310</v>
      </c>
      <c r="F8" s="12" t="s">
        <v>311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" customHeight="1">
      <c r="A9" s="9">
        <v>6</v>
      </c>
      <c r="B9" s="10" t="s">
        <v>286</v>
      </c>
      <c r="C9" s="10" t="s">
        <v>308</v>
      </c>
      <c r="D9" s="10" t="s">
        <v>309</v>
      </c>
      <c r="E9" s="10" t="s">
        <v>310</v>
      </c>
      <c r="F9" s="12" t="s">
        <v>311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" customHeight="1">
      <c r="A10" s="9">
        <v>7</v>
      </c>
      <c r="B10" s="10" t="s">
        <v>291</v>
      </c>
      <c r="C10" s="10" t="s">
        <v>308</v>
      </c>
      <c r="D10" s="10" t="s">
        <v>309</v>
      </c>
      <c r="E10" s="10" t="s">
        <v>310</v>
      </c>
      <c r="F10" s="12" t="s">
        <v>312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" customHeight="1">
      <c r="A11" s="9">
        <v>8</v>
      </c>
      <c r="B11" s="10" t="s">
        <v>296</v>
      </c>
      <c r="C11" s="10" t="s">
        <v>308</v>
      </c>
      <c r="D11" s="10" t="s">
        <v>309</v>
      </c>
      <c r="E11" s="10" t="s">
        <v>310</v>
      </c>
      <c r="F11" s="12" t="s">
        <v>311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" customHeight="1">
      <c r="A12" s="44">
        <v>9</v>
      </c>
      <c r="B12" s="47" t="s">
        <v>301</v>
      </c>
      <c r="C12" s="47" t="s">
        <v>308</v>
      </c>
      <c r="D12" s="47" t="s">
        <v>309</v>
      </c>
      <c r="E12" s="47" t="s">
        <v>310</v>
      </c>
      <c r="F12" s="48" t="s">
        <v>311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5">
      <c r="A15" s="92" t="s">
        <v>313</v>
      </c>
      <c r="B15" s="92"/>
      <c r="C15" s="92"/>
      <c r="D15" s="92"/>
      <c r="E15" s="92"/>
      <c r="F15" s="9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5">
      <c r="A16" s="111" t="s">
        <v>314</v>
      </c>
      <c r="B16" s="111"/>
      <c r="C16" s="111"/>
      <c r="D16" s="111"/>
      <c r="E16" s="111"/>
      <c r="F16" s="111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5">
      <c r="A17" s="111"/>
      <c r="B17" s="111"/>
      <c r="C17" s="111"/>
      <c r="D17" s="111"/>
      <c r="E17" s="111"/>
      <c r="F17" s="111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5">
      <c r="A18" s="111"/>
      <c r="B18" s="111"/>
      <c r="C18" s="111"/>
      <c r="D18" s="111"/>
      <c r="E18" s="111"/>
      <c r="F18" s="11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5">
      <c r="A19" s="111"/>
      <c r="B19" s="111"/>
      <c r="C19" s="111"/>
      <c r="D19" s="111"/>
      <c r="E19" s="111"/>
      <c r="F19" s="11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3">
    <mergeCell ref="A1:F2"/>
    <mergeCell ref="A15:F15"/>
    <mergeCell ref="A16:F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28"/>
  <sheetViews>
    <sheetView workbookViewId="0"/>
  </sheetViews>
  <sheetFormatPr defaultRowHeight="14"/>
  <cols>
    <col min="1" max="1" width="7" customWidth="1"/>
    <col min="2" max="2" width="29" customWidth="1"/>
    <col min="3" max="3" width="19" customWidth="1"/>
    <col min="4" max="4" width="23" customWidth="1"/>
    <col min="5" max="6" width="16" customWidth="1"/>
    <col min="7" max="7" width="11" customWidth="1"/>
    <col min="9" max="9" width="15" customWidth="1"/>
    <col min="10" max="10" width="25" customWidth="1"/>
    <col min="11" max="12" width="20" customWidth="1"/>
    <col min="13" max="13" width="46" customWidth="1"/>
    <col min="14" max="14" width="29" customWidth="1"/>
    <col min="15" max="16" width="20" customWidth="1"/>
    <col min="17" max="17" width="12" customWidth="1"/>
  </cols>
  <sheetData>
    <row r="1" spans="1:17" ht="16" customHeight="1">
      <c r="A1" s="125" t="s">
        <v>315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17" ht="16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</row>
    <row r="4" spans="1:17">
      <c r="A4" s="126" t="s">
        <v>316</v>
      </c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ht="18.649999999999999" customHeight="1">
      <c r="A5" s="127" t="s">
        <v>317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9"/>
    </row>
    <row r="6" spans="1:17" ht="18.649999999999999" customHeight="1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2"/>
    </row>
    <row r="7" spans="1:17" ht="18.649999999999999" customHeight="1">
      <c r="A7" s="130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2"/>
    </row>
    <row r="8" spans="1:17" ht="18.649999999999999" customHeight="1">
      <c r="A8" s="133"/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5"/>
    </row>
    <row r="11" spans="1:17" ht="28">
      <c r="A11" s="65" t="s">
        <v>9</v>
      </c>
      <c r="B11" s="65" t="s">
        <v>318</v>
      </c>
      <c r="C11" s="65" t="s">
        <v>319</v>
      </c>
      <c r="D11" s="65" t="s">
        <v>320</v>
      </c>
      <c r="E11" s="65" t="s">
        <v>321</v>
      </c>
      <c r="F11" s="65" t="s">
        <v>322</v>
      </c>
      <c r="G11" s="65" t="s">
        <v>154</v>
      </c>
      <c r="I11" s="65" t="s">
        <v>323</v>
      </c>
      <c r="J11" s="65" t="s">
        <v>324</v>
      </c>
      <c r="K11" s="65" t="s">
        <v>325</v>
      </c>
      <c r="L11" s="65" t="s">
        <v>326</v>
      </c>
      <c r="M11" s="65" t="s">
        <v>327</v>
      </c>
      <c r="N11" s="65" t="s">
        <v>328</v>
      </c>
    </row>
    <row r="12" spans="1:17" ht="28" customHeight="1">
      <c r="A12" s="85">
        <v>1</v>
      </c>
      <c r="B12" s="80" t="s">
        <v>329</v>
      </c>
      <c r="C12" s="86">
        <f>Theoretical_Calc!D4</f>
        <v>5.25</v>
      </c>
      <c r="D12" s="86">
        <v>5.25</v>
      </c>
      <c r="E12" s="86">
        <f t="shared" ref="E12:E43" si="0">ABS(C12-D12)</f>
        <v>0</v>
      </c>
      <c r="F12" s="86">
        <f t="shared" ref="F12:F43" si="1">IF(ABS(D12)&lt;0.000000000000001,E12,E12/ABS(D12))</f>
        <v>0</v>
      </c>
      <c r="G12" s="81" t="str">
        <f t="shared" ref="G12:G43" si="2">IF(OR(E12&lt;0.0000000001,F12&lt;0.0000000001),"PASS","CHECK")</f>
        <v>PASS</v>
      </c>
      <c r="I12" s="67" t="s">
        <v>330</v>
      </c>
      <c r="J12" s="68" t="s">
        <v>331</v>
      </c>
      <c r="K12" s="77">
        <v>9.25</v>
      </c>
      <c r="L12" s="77">
        <v>9</v>
      </c>
      <c r="M12" s="80" t="s">
        <v>332</v>
      </c>
      <c r="N12" s="81" t="s">
        <v>333</v>
      </c>
    </row>
    <row r="13" spans="1:17" ht="28" customHeight="1">
      <c r="A13" s="87">
        <v>1</v>
      </c>
      <c r="B13" s="1" t="s">
        <v>334</v>
      </c>
      <c r="C13" s="88">
        <f>Theoretical_Calc!E4</f>
        <v>16.836973127832799</v>
      </c>
      <c r="D13" s="88">
        <v>16.836973127832799</v>
      </c>
      <c r="E13" s="88">
        <f t="shared" si="0"/>
        <v>0</v>
      </c>
      <c r="F13" s="88">
        <f t="shared" si="1"/>
        <v>0</v>
      </c>
      <c r="G13" s="82" t="str">
        <f t="shared" si="2"/>
        <v>PASS</v>
      </c>
      <c r="I13" s="71" t="s">
        <v>330</v>
      </c>
      <c r="J13" t="s">
        <v>335</v>
      </c>
      <c r="K13" s="78">
        <v>2.25</v>
      </c>
      <c r="L13" s="78">
        <v>2</v>
      </c>
      <c r="M13" s="1" t="s">
        <v>336</v>
      </c>
      <c r="N13" s="82" t="s">
        <v>337</v>
      </c>
    </row>
    <row r="14" spans="1:17" ht="28" customHeight="1">
      <c r="A14" s="87">
        <v>1</v>
      </c>
      <c r="B14" s="1" t="s">
        <v>338</v>
      </c>
      <c r="C14" s="88">
        <f>Theoretical_Calc!F4</f>
        <v>80.567547193731158</v>
      </c>
      <c r="D14" s="88">
        <v>80.567547193731158</v>
      </c>
      <c r="E14" s="88">
        <f t="shared" si="0"/>
        <v>0</v>
      </c>
      <c r="F14" s="88">
        <f t="shared" si="1"/>
        <v>0</v>
      </c>
      <c r="G14" s="82" t="str">
        <f t="shared" si="2"/>
        <v>PASS</v>
      </c>
      <c r="I14" s="71" t="s">
        <v>330</v>
      </c>
      <c r="J14" t="s">
        <v>339</v>
      </c>
      <c r="K14" s="78">
        <v>2.25</v>
      </c>
      <c r="L14" s="78">
        <v>2.5</v>
      </c>
      <c r="M14" s="1" t="s">
        <v>340</v>
      </c>
      <c r="N14" s="82" t="s">
        <v>337</v>
      </c>
    </row>
    <row r="15" spans="1:17" ht="28" customHeight="1">
      <c r="A15" s="87">
        <v>1</v>
      </c>
      <c r="B15" s="1" t="s">
        <v>341</v>
      </c>
      <c r="C15" s="88">
        <f>Theoretical_Calc!G4</f>
        <v>161.13509438746232</v>
      </c>
      <c r="D15" s="88">
        <v>161.13509438746232</v>
      </c>
      <c r="E15" s="88">
        <f t="shared" si="0"/>
        <v>0</v>
      </c>
      <c r="F15" s="88">
        <f t="shared" si="1"/>
        <v>0</v>
      </c>
      <c r="G15" s="82" t="str">
        <f t="shared" si="2"/>
        <v>PASS</v>
      </c>
      <c r="I15" s="71" t="s">
        <v>342</v>
      </c>
      <c r="J15" t="s">
        <v>343</v>
      </c>
      <c r="K15" s="78">
        <v>0</v>
      </c>
      <c r="L15" s="78">
        <v>-7.4615E-4</v>
      </c>
      <c r="M15" s="1" t="s">
        <v>344</v>
      </c>
      <c r="N15" s="82" t="s">
        <v>345</v>
      </c>
    </row>
    <row r="16" spans="1:17" ht="28" customHeight="1">
      <c r="A16" s="87">
        <v>1</v>
      </c>
      <c r="B16" s="1" t="s">
        <v>346</v>
      </c>
      <c r="C16" s="88">
        <f>Theoretical_Calc!H4</f>
        <v>2.1875</v>
      </c>
      <c r="D16" s="88">
        <v>2.1875</v>
      </c>
      <c r="E16" s="88">
        <f t="shared" si="0"/>
        <v>0</v>
      </c>
      <c r="F16" s="88">
        <f t="shared" si="1"/>
        <v>0</v>
      </c>
      <c r="G16" s="82" t="str">
        <f t="shared" si="2"/>
        <v>PASS</v>
      </c>
      <c r="I16" s="71" t="s">
        <v>342</v>
      </c>
      <c r="J16" t="s">
        <v>347</v>
      </c>
      <c r="K16" s="78">
        <v>0</v>
      </c>
      <c r="L16" s="78">
        <v>1.9181999999999999E-4</v>
      </c>
      <c r="M16" s="1" t="s">
        <v>344</v>
      </c>
      <c r="N16" s="82" t="s">
        <v>337</v>
      </c>
    </row>
    <row r="17" spans="1:17" ht="28" customHeight="1">
      <c r="A17" s="87">
        <v>1</v>
      </c>
      <c r="B17" s="1" t="s">
        <v>112</v>
      </c>
      <c r="C17" s="88">
        <f>Theoretical_Calc!I4</f>
        <v>0.5625</v>
      </c>
      <c r="D17" s="88">
        <v>0.5625</v>
      </c>
      <c r="E17" s="88">
        <f t="shared" si="0"/>
        <v>0</v>
      </c>
      <c r="F17" s="88">
        <f t="shared" si="1"/>
        <v>0</v>
      </c>
      <c r="G17" s="82" t="str">
        <f t="shared" si="2"/>
        <v>PASS</v>
      </c>
      <c r="I17" s="71" t="s">
        <v>342</v>
      </c>
      <c r="J17" t="s">
        <v>348</v>
      </c>
      <c r="K17" s="78">
        <v>0</v>
      </c>
      <c r="L17" s="78">
        <v>-7.4967999999999996E-3</v>
      </c>
      <c r="M17" s="1" t="s">
        <v>344</v>
      </c>
      <c r="N17" s="82" t="s">
        <v>337</v>
      </c>
    </row>
    <row r="18" spans="1:17" ht="28" customHeight="1">
      <c r="A18" s="87">
        <v>1</v>
      </c>
      <c r="B18" s="1" t="s">
        <v>113</v>
      </c>
      <c r="C18" s="88">
        <f>Theoretical_Calc!J4</f>
        <v>2</v>
      </c>
      <c r="D18" s="88">
        <v>2</v>
      </c>
      <c r="E18" s="88">
        <f t="shared" si="0"/>
        <v>0</v>
      </c>
      <c r="F18" s="88">
        <f t="shared" si="1"/>
        <v>0</v>
      </c>
      <c r="G18" s="82" t="str">
        <f t="shared" si="2"/>
        <v>PASS</v>
      </c>
      <c r="I18" s="71" t="s">
        <v>342</v>
      </c>
      <c r="J18" t="s">
        <v>349</v>
      </c>
      <c r="K18" s="78">
        <v>0</v>
      </c>
      <c r="L18" s="78">
        <v>1.8145999999999999E-5</v>
      </c>
      <c r="M18" s="1" t="s">
        <v>344</v>
      </c>
      <c r="N18" s="82" t="s">
        <v>337</v>
      </c>
    </row>
    <row r="19" spans="1:17" ht="28" customHeight="1">
      <c r="A19" s="87">
        <v>1</v>
      </c>
      <c r="B19" s="1" t="s">
        <v>114</v>
      </c>
      <c r="C19" s="88">
        <f>Theoretical_Calc!K4</f>
        <v>0.8</v>
      </c>
      <c r="D19" s="88">
        <v>0.8</v>
      </c>
      <c r="E19" s="88">
        <f t="shared" si="0"/>
        <v>0</v>
      </c>
      <c r="F19" s="88">
        <f t="shared" si="1"/>
        <v>0</v>
      </c>
      <c r="G19" s="82" t="str">
        <f t="shared" si="2"/>
        <v>PASS</v>
      </c>
      <c r="I19" s="71" t="s">
        <v>342</v>
      </c>
      <c r="J19" t="s">
        <v>350</v>
      </c>
      <c r="K19" s="78">
        <v>0</v>
      </c>
      <c r="L19" s="78">
        <v>-5.4564999999999995E-4</v>
      </c>
      <c r="M19" s="1" t="s">
        <v>344</v>
      </c>
      <c r="N19" s="82" t="s">
        <v>337</v>
      </c>
    </row>
    <row r="20" spans="1:17" ht="28" customHeight="1">
      <c r="A20" s="87">
        <v>1</v>
      </c>
      <c r="B20" s="1" t="s">
        <v>115</v>
      </c>
      <c r="C20" s="88">
        <f>Theoretical_Calc!L4</f>
        <v>0.7142857142857143</v>
      </c>
      <c r="D20" s="88">
        <v>0.7142857142857143</v>
      </c>
      <c r="E20" s="88">
        <f t="shared" si="0"/>
        <v>0</v>
      </c>
      <c r="F20" s="88">
        <f t="shared" si="1"/>
        <v>0</v>
      </c>
      <c r="G20" s="82" t="str">
        <f t="shared" si="2"/>
        <v>PASS</v>
      </c>
      <c r="I20" s="71" t="s">
        <v>342</v>
      </c>
      <c r="J20" t="s">
        <v>351</v>
      </c>
      <c r="K20" s="78">
        <v>0</v>
      </c>
      <c r="L20" s="78">
        <v>1.663E-3</v>
      </c>
      <c r="M20" s="1" t="s">
        <v>344</v>
      </c>
      <c r="N20" s="82" t="s">
        <v>337</v>
      </c>
    </row>
    <row r="21" spans="1:17" ht="28" customHeight="1">
      <c r="A21" s="87">
        <v>1</v>
      </c>
      <c r="B21" s="1" t="s">
        <v>352</v>
      </c>
      <c r="C21" s="88">
        <f>Theoretical_Calc!M4</f>
        <v>1.3606898413287301</v>
      </c>
      <c r="D21" s="88">
        <v>1.3606898413287301</v>
      </c>
      <c r="E21" s="88">
        <f t="shared" si="0"/>
        <v>0</v>
      </c>
      <c r="F21" s="88">
        <f t="shared" si="1"/>
        <v>0</v>
      </c>
      <c r="G21" s="82" t="str">
        <f t="shared" si="2"/>
        <v>PASS</v>
      </c>
      <c r="I21" s="71" t="s">
        <v>342</v>
      </c>
      <c r="J21" t="s">
        <v>353</v>
      </c>
      <c r="K21" s="78">
        <v>0.72121999999999997</v>
      </c>
      <c r="L21" s="78">
        <v>1.0378000000000001</v>
      </c>
      <c r="M21" s="1" t="s">
        <v>354</v>
      </c>
      <c r="N21" s="82" t="s">
        <v>355</v>
      </c>
    </row>
    <row r="22" spans="1:17" ht="28" customHeight="1">
      <c r="A22" s="87">
        <v>1</v>
      </c>
      <c r="B22" s="1" t="s">
        <v>356</v>
      </c>
      <c r="C22" s="88">
        <f>Theoretical_Calc!N4</f>
        <v>0.73492133888755129</v>
      </c>
      <c r="D22" s="88">
        <v>0.73492133888755129</v>
      </c>
      <c r="E22" s="88">
        <f t="shared" si="0"/>
        <v>0</v>
      </c>
      <c r="F22" s="88">
        <f t="shared" si="1"/>
        <v>0</v>
      </c>
      <c r="G22" s="82" t="str">
        <f t="shared" si="2"/>
        <v>PASS</v>
      </c>
      <c r="I22" s="71" t="s">
        <v>342</v>
      </c>
      <c r="J22" t="s">
        <v>357</v>
      </c>
      <c r="K22" s="78">
        <v>9.4425999999999996E-2</v>
      </c>
      <c r="L22" s="78">
        <v>0.16067999999999999</v>
      </c>
      <c r="M22" s="1" t="s">
        <v>358</v>
      </c>
      <c r="N22" s="82" t="s">
        <v>337</v>
      </c>
    </row>
    <row r="23" spans="1:17" ht="28" customHeight="1">
      <c r="A23" s="87">
        <v>1</v>
      </c>
      <c r="B23" s="1" t="s">
        <v>359</v>
      </c>
      <c r="C23" s="88">
        <f>Theoretical_Calc!O4</f>
        <v>6.3782336312284231</v>
      </c>
      <c r="D23" s="88">
        <v>6.3782336312284231</v>
      </c>
      <c r="E23" s="88">
        <f t="shared" si="0"/>
        <v>0</v>
      </c>
      <c r="F23" s="88">
        <f t="shared" si="1"/>
        <v>0</v>
      </c>
      <c r="G23" s="82" t="str">
        <f t="shared" si="2"/>
        <v>PASS</v>
      </c>
      <c r="I23" s="71" t="s">
        <v>342</v>
      </c>
      <c r="J23" t="s">
        <v>360</v>
      </c>
      <c r="K23" s="78">
        <v>0</v>
      </c>
      <c r="L23" s="78">
        <v>5.7350999999999995E-4</v>
      </c>
      <c r="M23" s="1" t="s">
        <v>361</v>
      </c>
      <c r="N23" s="82" t="s">
        <v>337</v>
      </c>
    </row>
    <row r="24" spans="1:17" ht="28" customHeight="1">
      <c r="A24" s="87">
        <v>1</v>
      </c>
      <c r="B24" s="1" t="s">
        <v>362</v>
      </c>
      <c r="C24" s="88">
        <f>Theoretical_Calc!P4</f>
        <v>9.1803020630341106</v>
      </c>
      <c r="D24" s="88">
        <v>9.1803020630341106</v>
      </c>
      <c r="E24" s="88">
        <f t="shared" si="0"/>
        <v>0</v>
      </c>
      <c r="F24" s="88">
        <f t="shared" si="1"/>
        <v>0</v>
      </c>
      <c r="G24" s="82" t="str">
        <f t="shared" si="2"/>
        <v>PASS</v>
      </c>
      <c r="I24" s="71" t="s">
        <v>342</v>
      </c>
      <c r="J24" t="s">
        <v>363</v>
      </c>
      <c r="K24" s="78">
        <v>0</v>
      </c>
      <c r="L24" s="78">
        <v>-1.4032999999999999E-3</v>
      </c>
      <c r="M24" s="1" t="s">
        <v>361</v>
      </c>
      <c r="N24" s="82" t="s">
        <v>337</v>
      </c>
    </row>
    <row r="25" spans="1:17" ht="28" customHeight="1">
      <c r="A25" s="87">
        <v>2</v>
      </c>
      <c r="B25" s="1" t="s">
        <v>329</v>
      </c>
      <c r="C25" s="88">
        <f>Theoretical_Calc!D5</f>
        <v>5.25</v>
      </c>
      <c r="D25" s="88">
        <v>5.25</v>
      </c>
      <c r="E25" s="88">
        <f t="shared" si="0"/>
        <v>0</v>
      </c>
      <c r="F25" s="88">
        <f t="shared" si="1"/>
        <v>0</v>
      </c>
      <c r="G25" s="82" t="str">
        <f t="shared" si="2"/>
        <v>PASS</v>
      </c>
      <c r="I25" s="71" t="s">
        <v>342</v>
      </c>
      <c r="J25" t="s">
        <v>364</v>
      </c>
      <c r="K25" s="78">
        <v>0</v>
      </c>
      <c r="L25" s="78">
        <v>-6.1942999999999998E-3</v>
      </c>
      <c r="M25" s="1" t="s">
        <v>344</v>
      </c>
      <c r="N25" s="82" t="s">
        <v>337</v>
      </c>
    </row>
    <row r="26" spans="1:17" ht="28" customHeight="1">
      <c r="A26" s="87">
        <v>2</v>
      </c>
      <c r="B26" s="1" t="s">
        <v>334</v>
      </c>
      <c r="C26" s="88">
        <f>Theoretical_Calc!E5</f>
        <v>16.836973127832799</v>
      </c>
      <c r="D26" s="88">
        <v>16.836973127832799</v>
      </c>
      <c r="E26" s="88">
        <f t="shared" si="0"/>
        <v>0</v>
      </c>
      <c r="F26" s="88">
        <f t="shared" si="1"/>
        <v>0</v>
      </c>
      <c r="G26" s="82" t="str">
        <f t="shared" si="2"/>
        <v>PASS</v>
      </c>
      <c r="I26" s="73" t="s">
        <v>342</v>
      </c>
      <c r="J26" s="74" t="s">
        <v>365</v>
      </c>
      <c r="K26" s="79">
        <v>0</v>
      </c>
      <c r="L26" s="79">
        <v>1.2049999999999999E-3</v>
      </c>
      <c r="M26" s="83" t="s">
        <v>344</v>
      </c>
      <c r="N26" s="84" t="s">
        <v>337</v>
      </c>
    </row>
    <row r="27" spans="1:17">
      <c r="A27" s="87">
        <v>2</v>
      </c>
      <c r="B27" s="1" t="s">
        <v>338</v>
      </c>
      <c r="C27" s="88">
        <f>Theoretical_Calc!F5</f>
        <v>80.567547193731158</v>
      </c>
      <c r="D27" s="88">
        <v>80.567547193731158</v>
      </c>
      <c r="E27" s="88">
        <f t="shared" si="0"/>
        <v>0</v>
      </c>
      <c r="F27" s="88">
        <f t="shared" si="1"/>
        <v>0</v>
      </c>
      <c r="G27" s="82" t="str">
        <f t="shared" si="2"/>
        <v>PASS</v>
      </c>
    </row>
    <row r="28" spans="1:17">
      <c r="A28" s="87">
        <v>2</v>
      </c>
      <c r="B28" s="1" t="s">
        <v>341</v>
      </c>
      <c r="C28" s="88">
        <f>Theoretical_Calc!G5</f>
        <v>161.13509438746232</v>
      </c>
      <c r="D28" s="88">
        <v>161.13509438746232</v>
      </c>
      <c r="E28" s="88">
        <f t="shared" si="0"/>
        <v>0</v>
      </c>
      <c r="F28" s="88">
        <f t="shared" si="1"/>
        <v>0</v>
      </c>
      <c r="G28" s="82" t="str">
        <f t="shared" si="2"/>
        <v>PASS</v>
      </c>
    </row>
    <row r="29" spans="1:17">
      <c r="A29" s="87">
        <v>2</v>
      </c>
      <c r="B29" s="1" t="s">
        <v>346</v>
      </c>
      <c r="C29" s="88">
        <f>Theoretical_Calc!H5</f>
        <v>2.1875</v>
      </c>
      <c r="D29" s="88">
        <v>2.1875</v>
      </c>
      <c r="E29" s="88">
        <f t="shared" si="0"/>
        <v>0</v>
      </c>
      <c r="F29" s="88">
        <f t="shared" si="1"/>
        <v>0</v>
      </c>
      <c r="G29" s="82" t="str">
        <f t="shared" si="2"/>
        <v>PASS</v>
      </c>
      <c r="I29" s="126" t="s">
        <v>366</v>
      </c>
      <c r="J29" s="126"/>
      <c r="K29" s="126"/>
      <c r="L29" s="126"/>
      <c r="M29" s="126"/>
      <c r="N29" s="126"/>
      <c r="O29" s="126"/>
      <c r="P29" s="126"/>
      <c r="Q29" s="126"/>
    </row>
    <row r="30" spans="1:17">
      <c r="A30" s="87">
        <v>2</v>
      </c>
      <c r="B30" s="1" t="s">
        <v>112</v>
      </c>
      <c r="C30" s="88">
        <f>Theoretical_Calc!I5</f>
        <v>0.5625</v>
      </c>
      <c r="D30" s="88">
        <v>0.5625</v>
      </c>
      <c r="E30" s="88">
        <f t="shared" si="0"/>
        <v>0</v>
      </c>
      <c r="F30" s="88">
        <f t="shared" si="1"/>
        <v>0</v>
      </c>
      <c r="G30" s="82" t="str">
        <f t="shared" si="2"/>
        <v>PASS</v>
      </c>
      <c r="I30" s="65" t="s">
        <v>9</v>
      </c>
      <c r="J30" s="65" t="s">
        <v>367</v>
      </c>
      <c r="K30" s="65" t="s">
        <v>368</v>
      </c>
      <c r="L30" s="65" t="s">
        <v>369</v>
      </c>
      <c r="M30" s="65" t="s">
        <v>370</v>
      </c>
      <c r="N30" s="65" t="s">
        <v>371</v>
      </c>
      <c r="O30" s="65" t="s">
        <v>372</v>
      </c>
      <c r="P30" s="65" t="s">
        <v>373</v>
      </c>
      <c r="Q30" s="65" t="s">
        <v>374</v>
      </c>
    </row>
    <row r="31" spans="1:17">
      <c r="A31" s="87">
        <v>2</v>
      </c>
      <c r="B31" s="1" t="s">
        <v>113</v>
      </c>
      <c r="C31" s="88">
        <f>Theoretical_Calc!J5</f>
        <v>4</v>
      </c>
      <c r="D31" s="88">
        <v>4</v>
      </c>
      <c r="E31" s="88">
        <f t="shared" si="0"/>
        <v>0</v>
      </c>
      <c r="F31" s="88">
        <f t="shared" si="1"/>
        <v>0</v>
      </c>
      <c r="G31" s="82" t="str">
        <f t="shared" si="2"/>
        <v>PASS</v>
      </c>
      <c r="I31" s="67">
        <v>1</v>
      </c>
      <c r="J31" s="69">
        <f>Combined_Ranking!J4</f>
        <v>0.8196900662495521</v>
      </c>
      <c r="K31" s="69">
        <v>0.8196900662495521</v>
      </c>
      <c r="L31" s="69">
        <f t="shared" ref="L31:L39" si="3">ABS(J31-K31)</f>
        <v>0</v>
      </c>
      <c r="M31" s="69">
        <f>Combined_Ranking!K4</f>
        <v>0.82655758051332673</v>
      </c>
      <c r="N31" s="69">
        <v>0.82655758051332673</v>
      </c>
      <c r="O31" s="69">
        <f>Combined_Ranking!L4</f>
        <v>0.79423122667677593</v>
      </c>
      <c r="P31" s="69">
        <v>0.79423122667677593</v>
      </c>
      <c r="Q31" s="70" t="str">
        <f t="shared" ref="Q31:Q39" si="4">IF(AND(ABS(J31-K31)&lt;0.0000000001,ABS(M31-N31)&lt;0.0000000001,ABS(O31-P31)&lt;0.0000000001),"PASS","CHECK")</f>
        <v>PASS</v>
      </c>
    </row>
    <row r="32" spans="1:17">
      <c r="A32" s="87">
        <v>2</v>
      </c>
      <c r="B32" s="1" t="s">
        <v>114</v>
      </c>
      <c r="C32" s="88">
        <f>Theoretical_Calc!K5</f>
        <v>1.6</v>
      </c>
      <c r="D32" s="88">
        <v>1.6</v>
      </c>
      <c r="E32" s="88">
        <f t="shared" si="0"/>
        <v>0</v>
      </c>
      <c r="F32" s="88">
        <f t="shared" si="1"/>
        <v>0</v>
      </c>
      <c r="G32" s="82" t="str">
        <f t="shared" si="2"/>
        <v>PASS</v>
      </c>
      <c r="I32" s="71">
        <v>2</v>
      </c>
      <c r="J32" s="66">
        <f>Combined_Ranking!J5</f>
        <v>0.75529864690808746</v>
      </c>
      <c r="K32" s="66">
        <v>0.75529864690808746</v>
      </c>
      <c r="L32" s="66">
        <f t="shared" si="3"/>
        <v>0</v>
      </c>
      <c r="M32" s="66">
        <f>Combined_Ranking!K5</f>
        <v>0.77770202857465098</v>
      </c>
      <c r="N32" s="66">
        <v>0.77770202857465098</v>
      </c>
      <c r="O32" s="66">
        <f>Combined_Ranking!L5</f>
        <v>0.72292609115331352</v>
      </c>
      <c r="P32" s="66">
        <v>0.72292609115331352</v>
      </c>
      <c r="Q32" s="72" t="str">
        <f t="shared" si="4"/>
        <v>PASS</v>
      </c>
    </row>
    <row r="33" spans="1:17">
      <c r="A33" s="87">
        <v>2</v>
      </c>
      <c r="B33" s="1" t="s">
        <v>115</v>
      </c>
      <c r="C33" s="88">
        <f>Theoretical_Calc!L5</f>
        <v>0.35714285714285715</v>
      </c>
      <c r="D33" s="88">
        <v>0.35714285714285715</v>
      </c>
      <c r="E33" s="88">
        <f t="shared" si="0"/>
        <v>0</v>
      </c>
      <c r="F33" s="88">
        <f t="shared" si="1"/>
        <v>0</v>
      </c>
      <c r="G33" s="82" t="str">
        <f t="shared" si="2"/>
        <v>PASS</v>
      </c>
      <c r="I33" s="71">
        <v>3</v>
      </c>
      <c r="J33" s="66">
        <f>Combined_Ranking!J6</f>
        <v>0.64469314788681464</v>
      </c>
      <c r="K33" s="66">
        <v>0.64469314788681464</v>
      </c>
      <c r="L33" s="66">
        <f t="shared" si="3"/>
        <v>0</v>
      </c>
      <c r="M33" s="66">
        <f>Combined_Ranking!K6</f>
        <v>0.6658136910966912</v>
      </c>
      <c r="N33" s="66">
        <v>0.6658136910966912</v>
      </c>
      <c r="O33" s="66">
        <f>Combined_Ranking!L6</f>
        <v>0.62013728684103697</v>
      </c>
      <c r="P33" s="66">
        <v>0.62013728684103697</v>
      </c>
      <c r="Q33" s="72" t="str">
        <f t="shared" si="4"/>
        <v>PASS</v>
      </c>
    </row>
    <row r="34" spans="1:17">
      <c r="A34" s="87">
        <v>2</v>
      </c>
      <c r="B34" s="1" t="s">
        <v>352</v>
      </c>
      <c r="C34" s="88">
        <f>Theoretical_Calc!M5</f>
        <v>0.68034492066436503</v>
      </c>
      <c r="D34" s="88">
        <v>0.68034492066436503</v>
      </c>
      <c r="E34" s="88">
        <f t="shared" si="0"/>
        <v>0</v>
      </c>
      <c r="F34" s="88">
        <f t="shared" si="1"/>
        <v>0</v>
      </c>
      <c r="G34" s="82" t="str">
        <f t="shared" si="2"/>
        <v>PASS</v>
      </c>
      <c r="I34" s="71">
        <v>4</v>
      </c>
      <c r="J34" s="66">
        <f>Combined_Ranking!J7</f>
        <v>0.69257997477174327</v>
      </c>
      <c r="K34" s="66">
        <v>0.69257997477174327</v>
      </c>
      <c r="L34" s="66">
        <f t="shared" si="3"/>
        <v>0</v>
      </c>
      <c r="M34" s="66">
        <f>Combined_Ranking!K7</f>
        <v>0.62925084465917946</v>
      </c>
      <c r="N34" s="66">
        <v>0.62925084465917946</v>
      </c>
      <c r="O34" s="66">
        <f>Combined_Ranking!L7</f>
        <v>0.80845726360694836</v>
      </c>
      <c r="P34" s="66">
        <v>0.80845726360694836</v>
      </c>
      <c r="Q34" s="72" t="str">
        <f t="shared" si="4"/>
        <v>PASS</v>
      </c>
    </row>
    <row r="35" spans="1:17">
      <c r="A35" s="87">
        <v>2</v>
      </c>
      <c r="B35" s="1" t="s">
        <v>356</v>
      </c>
      <c r="C35" s="88">
        <f>Theoretical_Calc!N5</f>
        <v>1.4698426777751026</v>
      </c>
      <c r="D35" s="88">
        <v>1.4698426777751026</v>
      </c>
      <c r="E35" s="88">
        <f t="shared" si="0"/>
        <v>0</v>
      </c>
      <c r="F35" s="88">
        <f t="shared" si="1"/>
        <v>0</v>
      </c>
      <c r="G35" s="82" t="str">
        <f t="shared" si="2"/>
        <v>PASS</v>
      </c>
      <c r="I35" s="71">
        <v>5</v>
      </c>
      <c r="J35" s="66">
        <f>Combined_Ranking!J8</f>
        <v>0.93605792170816726</v>
      </c>
      <c r="K35" s="66">
        <v>0.93605792170816726</v>
      </c>
      <c r="L35" s="66">
        <f t="shared" si="3"/>
        <v>0</v>
      </c>
      <c r="M35" s="66">
        <f>Combined_Ranking!K8</f>
        <v>0.92705219262531047</v>
      </c>
      <c r="N35" s="66">
        <v>0.92705219262531047</v>
      </c>
      <c r="O35" s="66">
        <f>Combined_Ranking!L8</f>
        <v>0.95429487355183973</v>
      </c>
      <c r="P35" s="66">
        <v>0.95429487355183973</v>
      </c>
      <c r="Q35" s="72" t="str">
        <f t="shared" si="4"/>
        <v>PASS</v>
      </c>
    </row>
    <row r="36" spans="1:17">
      <c r="A36" s="87">
        <v>2</v>
      </c>
      <c r="B36" s="1" t="s">
        <v>359</v>
      </c>
      <c r="C36" s="88">
        <f>Theoretical_Calc!O5</f>
        <v>0.79727920390355289</v>
      </c>
      <c r="D36" s="88">
        <v>0.79727920390355289</v>
      </c>
      <c r="E36" s="88">
        <f t="shared" si="0"/>
        <v>0</v>
      </c>
      <c r="F36" s="88">
        <f t="shared" si="1"/>
        <v>0</v>
      </c>
      <c r="G36" s="82" t="str">
        <f t="shared" si="2"/>
        <v>PASS</v>
      </c>
      <c r="I36" s="71">
        <v>6</v>
      </c>
      <c r="J36" s="66">
        <f>Combined_Ranking!J9</f>
        <v>0.96205682539682547</v>
      </c>
      <c r="K36" s="66">
        <v>0.96205682539682547</v>
      </c>
      <c r="L36" s="66">
        <f t="shared" si="3"/>
        <v>0</v>
      </c>
      <c r="M36" s="66">
        <f>Combined_Ranking!K9</f>
        <v>0.97964941798941807</v>
      </c>
      <c r="N36" s="66">
        <v>0.97964941798941807</v>
      </c>
      <c r="O36" s="66">
        <f>Combined_Ranking!L9</f>
        <v>0.93855650793650802</v>
      </c>
      <c r="P36" s="66">
        <v>0.93855650793650802</v>
      </c>
      <c r="Q36" s="72" t="str">
        <f t="shared" si="4"/>
        <v>PASS</v>
      </c>
    </row>
    <row r="37" spans="1:17">
      <c r="A37" s="87">
        <v>2</v>
      </c>
      <c r="B37" s="1" t="s">
        <v>362</v>
      </c>
      <c r="C37" s="88">
        <f>Theoretical_Calc!P5</f>
        <v>2.2950755157585276</v>
      </c>
      <c r="D37" s="88">
        <v>2.2950755157585276</v>
      </c>
      <c r="E37" s="88">
        <f t="shared" si="0"/>
        <v>0</v>
      </c>
      <c r="F37" s="88">
        <f t="shared" si="1"/>
        <v>0</v>
      </c>
      <c r="G37" s="82" t="str">
        <f t="shared" si="2"/>
        <v>PASS</v>
      </c>
      <c r="I37" s="71">
        <v>7</v>
      </c>
      <c r="J37" s="66">
        <f>Combined_Ranking!J10</f>
        <v>0</v>
      </c>
      <c r="K37" s="66">
        <v>0</v>
      </c>
      <c r="L37" s="66">
        <f t="shared" si="3"/>
        <v>0</v>
      </c>
      <c r="M37" s="66">
        <f>Combined_Ranking!K10</f>
        <v>0</v>
      </c>
      <c r="N37" s="66">
        <v>0</v>
      </c>
      <c r="O37" s="66">
        <f>Combined_Ranking!L10</f>
        <v>0</v>
      </c>
      <c r="P37" s="66">
        <v>0</v>
      </c>
      <c r="Q37" s="72" t="str">
        <f t="shared" si="4"/>
        <v>PASS</v>
      </c>
    </row>
    <row r="38" spans="1:17">
      <c r="A38" s="87">
        <v>3</v>
      </c>
      <c r="B38" s="1" t="s">
        <v>329</v>
      </c>
      <c r="C38" s="88">
        <f>Theoretical_Calc!D6</f>
        <v>5.25</v>
      </c>
      <c r="D38" s="88">
        <v>5.25</v>
      </c>
      <c r="E38" s="88">
        <f t="shared" si="0"/>
        <v>0</v>
      </c>
      <c r="F38" s="88">
        <f t="shared" si="1"/>
        <v>0</v>
      </c>
      <c r="G38" s="82" t="str">
        <f t="shared" si="2"/>
        <v>PASS</v>
      </c>
      <c r="I38" s="71">
        <v>8</v>
      </c>
      <c r="J38" s="66">
        <f>Combined_Ranking!J11</f>
        <v>0.79977400820399136</v>
      </c>
      <c r="K38" s="66">
        <v>0.79977400820399136</v>
      </c>
      <c r="L38" s="66">
        <f t="shared" si="3"/>
        <v>0</v>
      </c>
      <c r="M38" s="66">
        <f>Combined_Ranking!K11</f>
        <v>0.8170722282070062</v>
      </c>
      <c r="N38" s="66">
        <v>0.8170722282070062</v>
      </c>
      <c r="O38" s="66">
        <f>Combined_Ranking!L11</f>
        <v>0.77162613796542656</v>
      </c>
      <c r="P38" s="66">
        <v>0.77162613796542656</v>
      </c>
      <c r="Q38" s="72" t="str">
        <f t="shared" si="4"/>
        <v>PASS</v>
      </c>
    </row>
    <row r="39" spans="1:17">
      <c r="A39" s="87">
        <v>3</v>
      </c>
      <c r="B39" s="1" t="s">
        <v>334</v>
      </c>
      <c r="C39" s="88">
        <f>Theoretical_Calc!E6</f>
        <v>16.836973127832799</v>
      </c>
      <c r="D39" s="88">
        <v>16.836973127832799</v>
      </c>
      <c r="E39" s="88">
        <f t="shared" si="0"/>
        <v>0</v>
      </c>
      <c r="F39" s="88">
        <f t="shared" si="1"/>
        <v>0</v>
      </c>
      <c r="G39" s="82" t="str">
        <f t="shared" si="2"/>
        <v>PASS</v>
      </c>
      <c r="I39" s="73">
        <v>9</v>
      </c>
      <c r="J39" s="75">
        <f>Combined_Ranking!J12</f>
        <v>0.86219467931430338</v>
      </c>
      <c r="K39" s="75">
        <v>0.86219467931430338</v>
      </c>
      <c r="L39" s="75">
        <f t="shared" si="3"/>
        <v>0</v>
      </c>
      <c r="M39" s="75">
        <f>Combined_Ranking!K12</f>
        <v>0.91003077384897291</v>
      </c>
      <c r="N39" s="75">
        <v>0.91003077384897291</v>
      </c>
      <c r="O39" s="75">
        <f>Combined_Ranking!L12</f>
        <v>0.77536095308852737</v>
      </c>
      <c r="P39" s="75">
        <v>0.77536095308852737</v>
      </c>
      <c r="Q39" s="76" t="str">
        <f t="shared" si="4"/>
        <v>PASS</v>
      </c>
    </row>
    <row r="40" spans="1:17">
      <c r="A40" s="87">
        <v>3</v>
      </c>
      <c r="B40" s="1" t="s">
        <v>338</v>
      </c>
      <c r="C40" s="88">
        <f>Theoretical_Calc!F6</f>
        <v>80.567547193731158</v>
      </c>
      <c r="D40" s="88">
        <v>80.567547193731158</v>
      </c>
      <c r="E40" s="88">
        <f t="shared" si="0"/>
        <v>0</v>
      </c>
      <c r="F40" s="88">
        <f t="shared" si="1"/>
        <v>0</v>
      </c>
      <c r="G40" s="82" t="str">
        <f t="shared" si="2"/>
        <v>PASS</v>
      </c>
    </row>
    <row r="41" spans="1:17">
      <c r="A41" s="87">
        <v>3</v>
      </c>
      <c r="B41" s="1" t="s">
        <v>341</v>
      </c>
      <c r="C41" s="88">
        <f>Theoretical_Calc!G6</f>
        <v>161.13509438746232</v>
      </c>
      <c r="D41" s="88">
        <v>161.13509438746232</v>
      </c>
      <c r="E41" s="88">
        <f t="shared" si="0"/>
        <v>0</v>
      </c>
      <c r="F41" s="88">
        <f t="shared" si="1"/>
        <v>0</v>
      </c>
      <c r="G41" s="82" t="str">
        <f t="shared" si="2"/>
        <v>PASS</v>
      </c>
    </row>
    <row r="42" spans="1:17">
      <c r="A42" s="87">
        <v>3</v>
      </c>
      <c r="B42" s="1" t="s">
        <v>346</v>
      </c>
      <c r="C42" s="88">
        <f>Theoretical_Calc!H6</f>
        <v>2.1875</v>
      </c>
      <c r="D42" s="88">
        <v>2.1875</v>
      </c>
      <c r="E42" s="88">
        <f t="shared" si="0"/>
        <v>0</v>
      </c>
      <c r="F42" s="88">
        <f t="shared" si="1"/>
        <v>0</v>
      </c>
      <c r="G42" s="82" t="str">
        <f t="shared" si="2"/>
        <v>PASS</v>
      </c>
    </row>
    <row r="43" spans="1:17">
      <c r="A43" s="87">
        <v>3</v>
      </c>
      <c r="B43" s="1" t="s">
        <v>112</v>
      </c>
      <c r="C43" s="88">
        <f>Theoretical_Calc!I6</f>
        <v>0.5625</v>
      </c>
      <c r="D43" s="88">
        <v>0.5625</v>
      </c>
      <c r="E43" s="88">
        <f t="shared" si="0"/>
        <v>0</v>
      </c>
      <c r="F43" s="88">
        <f t="shared" si="1"/>
        <v>0</v>
      </c>
      <c r="G43" s="82" t="str">
        <f t="shared" si="2"/>
        <v>PASS</v>
      </c>
      <c r="I43" s="126" t="s">
        <v>375</v>
      </c>
      <c r="J43" s="126"/>
      <c r="K43" s="126"/>
      <c r="L43" s="126"/>
      <c r="M43" s="126"/>
      <c r="N43" s="126"/>
      <c r="O43" s="126"/>
      <c r="P43" s="126"/>
      <c r="Q43" s="126"/>
    </row>
    <row r="44" spans="1:17" ht="17.399999999999999" customHeight="1">
      <c r="A44" s="87">
        <v>3</v>
      </c>
      <c r="B44" s="1" t="s">
        <v>113</v>
      </c>
      <c r="C44" s="88">
        <f>Theoretical_Calc!J6</f>
        <v>6</v>
      </c>
      <c r="D44" s="88">
        <v>6</v>
      </c>
      <c r="E44" s="88">
        <f t="shared" ref="E44:E75" si="5">ABS(C44-D44)</f>
        <v>0</v>
      </c>
      <c r="F44" s="88">
        <f t="shared" ref="F44:F75" si="6">IF(ABS(D44)&lt;0.000000000000001,E44,E44/ABS(D44))</f>
        <v>0</v>
      </c>
      <c r="G44" s="82" t="str">
        <f t="shared" ref="G44:G75" si="7">IF(OR(E44&lt;0.0000000001,F44&lt;0.0000000001),"PASS","CHECK")</f>
        <v>PASS</v>
      </c>
      <c r="I44" s="136" t="s">
        <v>376</v>
      </c>
      <c r="J44" s="137"/>
      <c r="K44" s="137"/>
      <c r="L44" s="137"/>
      <c r="M44" s="137"/>
      <c r="N44" s="137"/>
      <c r="O44" s="137"/>
      <c r="P44" s="137"/>
      <c r="Q44" s="138"/>
    </row>
    <row r="45" spans="1:17" ht="17.399999999999999" customHeight="1">
      <c r="A45" s="87">
        <v>3</v>
      </c>
      <c r="B45" s="1" t="s">
        <v>114</v>
      </c>
      <c r="C45" s="88">
        <f>Theoretical_Calc!K6</f>
        <v>2.4</v>
      </c>
      <c r="D45" s="88">
        <v>2.4</v>
      </c>
      <c r="E45" s="88">
        <f t="shared" si="5"/>
        <v>0</v>
      </c>
      <c r="F45" s="88">
        <f t="shared" si="6"/>
        <v>0</v>
      </c>
      <c r="G45" s="82" t="str">
        <f t="shared" si="7"/>
        <v>PASS</v>
      </c>
      <c r="I45" s="139"/>
      <c r="J45" s="140"/>
      <c r="K45" s="140"/>
      <c r="L45" s="140"/>
      <c r="M45" s="140"/>
      <c r="N45" s="140"/>
      <c r="O45" s="140"/>
      <c r="P45" s="140"/>
      <c r="Q45" s="141"/>
    </row>
    <row r="46" spans="1:17" ht="17.399999999999999" customHeight="1">
      <c r="A46" s="87">
        <v>3</v>
      </c>
      <c r="B46" s="1" t="s">
        <v>115</v>
      </c>
      <c r="C46" s="88">
        <f>Theoretical_Calc!L6</f>
        <v>0.23809523809523808</v>
      </c>
      <c r="D46" s="88">
        <v>0.23809523809523808</v>
      </c>
      <c r="E46" s="88">
        <f t="shared" si="5"/>
        <v>0</v>
      </c>
      <c r="F46" s="88">
        <f t="shared" si="6"/>
        <v>0</v>
      </c>
      <c r="G46" s="82" t="str">
        <f t="shared" si="7"/>
        <v>PASS</v>
      </c>
      <c r="I46" s="139"/>
      <c r="J46" s="140"/>
      <c r="K46" s="140"/>
      <c r="L46" s="140"/>
      <c r="M46" s="140"/>
      <c r="N46" s="140"/>
      <c r="O46" s="140"/>
      <c r="P46" s="140"/>
      <c r="Q46" s="141"/>
    </row>
    <row r="47" spans="1:17" ht="17.399999999999999" customHeight="1">
      <c r="A47" s="87">
        <v>3</v>
      </c>
      <c r="B47" s="1" t="s">
        <v>352</v>
      </c>
      <c r="C47" s="88">
        <f>Theoretical_Calc!M6</f>
        <v>0.45356328044291</v>
      </c>
      <c r="D47" s="88">
        <v>0.45356328044291</v>
      </c>
      <c r="E47" s="88">
        <f t="shared" si="5"/>
        <v>0</v>
      </c>
      <c r="F47" s="88">
        <f t="shared" si="6"/>
        <v>0</v>
      </c>
      <c r="G47" s="82" t="str">
        <f t="shared" si="7"/>
        <v>PASS</v>
      </c>
      <c r="I47" s="139"/>
      <c r="J47" s="140"/>
      <c r="K47" s="140"/>
      <c r="L47" s="140"/>
      <c r="M47" s="140"/>
      <c r="N47" s="140"/>
      <c r="O47" s="140"/>
      <c r="P47" s="140"/>
      <c r="Q47" s="141"/>
    </row>
    <row r="48" spans="1:17" ht="17.399999999999999" customHeight="1">
      <c r="A48" s="87">
        <v>3</v>
      </c>
      <c r="B48" s="1" t="s">
        <v>356</v>
      </c>
      <c r="C48" s="88">
        <f>Theoretical_Calc!N6</f>
        <v>2.2047640166626539</v>
      </c>
      <c r="D48" s="88">
        <v>2.2047640166626539</v>
      </c>
      <c r="E48" s="88">
        <f t="shared" si="5"/>
        <v>0</v>
      </c>
      <c r="F48" s="88">
        <f t="shared" si="6"/>
        <v>0</v>
      </c>
      <c r="G48" s="82" t="str">
        <f t="shared" si="7"/>
        <v>PASS</v>
      </c>
      <c r="I48" s="142"/>
      <c r="J48" s="143"/>
      <c r="K48" s="143"/>
      <c r="L48" s="143"/>
      <c r="M48" s="143"/>
      <c r="N48" s="143"/>
      <c r="O48" s="143"/>
      <c r="P48" s="143"/>
      <c r="Q48" s="144"/>
    </row>
    <row r="49" spans="1:7">
      <c r="A49" s="87">
        <v>3</v>
      </c>
      <c r="B49" s="1" t="s">
        <v>359</v>
      </c>
      <c r="C49" s="88">
        <f>Theoretical_Calc!O6</f>
        <v>0.23623087523068231</v>
      </c>
      <c r="D49" s="88">
        <v>0.23623087523068231</v>
      </c>
      <c r="E49" s="88">
        <f t="shared" si="5"/>
        <v>0</v>
      </c>
      <c r="F49" s="88">
        <f t="shared" si="6"/>
        <v>0</v>
      </c>
      <c r="G49" s="82" t="str">
        <f t="shared" si="7"/>
        <v>PASS</v>
      </c>
    </row>
    <row r="50" spans="1:7">
      <c r="A50" s="87">
        <v>3</v>
      </c>
      <c r="B50" s="1" t="s">
        <v>362</v>
      </c>
      <c r="C50" s="88">
        <f>Theoretical_Calc!P6</f>
        <v>1.0200335625593457</v>
      </c>
      <c r="D50" s="88">
        <v>1.0200335625593457</v>
      </c>
      <c r="E50" s="88">
        <f t="shared" si="5"/>
        <v>0</v>
      </c>
      <c r="F50" s="88">
        <f t="shared" si="6"/>
        <v>0</v>
      </c>
      <c r="G50" s="82" t="str">
        <f t="shared" si="7"/>
        <v>PASS</v>
      </c>
    </row>
    <row r="51" spans="1:7">
      <c r="A51" s="87">
        <v>4</v>
      </c>
      <c r="B51" s="1" t="s">
        <v>329</v>
      </c>
      <c r="C51" s="88">
        <f>Theoretical_Calc!D7</f>
        <v>3.5</v>
      </c>
      <c r="D51" s="88">
        <v>3.5</v>
      </c>
      <c r="E51" s="88">
        <f t="shared" si="5"/>
        <v>0</v>
      </c>
      <c r="F51" s="88">
        <f t="shared" si="6"/>
        <v>0</v>
      </c>
      <c r="G51" s="82" t="str">
        <f t="shared" si="7"/>
        <v>PASS</v>
      </c>
    </row>
    <row r="52" spans="1:7">
      <c r="A52" s="87">
        <v>4</v>
      </c>
      <c r="B52" s="1" t="s">
        <v>334</v>
      </c>
      <c r="C52" s="88">
        <f>Theoretical_Calc!E7</f>
        <v>28.863382504856226</v>
      </c>
      <c r="D52" s="88">
        <v>28.863382504856226</v>
      </c>
      <c r="E52" s="88">
        <f t="shared" si="5"/>
        <v>0</v>
      </c>
      <c r="F52" s="88">
        <f t="shared" si="6"/>
        <v>0</v>
      </c>
      <c r="G52" s="82" t="str">
        <f t="shared" si="7"/>
        <v>PASS</v>
      </c>
    </row>
    <row r="53" spans="1:7">
      <c r="A53" s="87">
        <v>4</v>
      </c>
      <c r="B53" s="1" t="s">
        <v>338</v>
      </c>
      <c r="C53" s="88">
        <f>Theoretical_Calc!F7</f>
        <v>110.49263615140273</v>
      </c>
      <c r="D53" s="88">
        <v>110.49263615140273</v>
      </c>
      <c r="E53" s="88">
        <f t="shared" si="5"/>
        <v>0</v>
      </c>
      <c r="F53" s="88">
        <f t="shared" si="6"/>
        <v>0</v>
      </c>
      <c r="G53" s="82" t="str">
        <f t="shared" si="7"/>
        <v>PASS</v>
      </c>
    </row>
    <row r="54" spans="1:7">
      <c r="A54" s="87">
        <v>4</v>
      </c>
      <c r="B54" s="1" t="s">
        <v>341</v>
      </c>
      <c r="C54" s="88">
        <f>Theoretical_Calc!G7</f>
        <v>220.98527230280547</v>
      </c>
      <c r="D54" s="88">
        <v>220.98527230280547</v>
      </c>
      <c r="E54" s="88">
        <f t="shared" si="5"/>
        <v>0</v>
      </c>
      <c r="F54" s="88">
        <f t="shared" si="6"/>
        <v>0</v>
      </c>
      <c r="G54" s="82" t="str">
        <f t="shared" si="7"/>
        <v>PASS</v>
      </c>
    </row>
    <row r="55" spans="1:7">
      <c r="A55" s="87">
        <v>4</v>
      </c>
      <c r="B55" s="1" t="s">
        <v>346</v>
      </c>
      <c r="C55" s="88">
        <f>Theoretical_Calc!H7</f>
        <v>1.9565594803123161</v>
      </c>
      <c r="D55" s="88">
        <v>1.9565594803123161</v>
      </c>
      <c r="E55" s="88">
        <f t="shared" si="5"/>
        <v>0</v>
      </c>
      <c r="F55" s="88">
        <f t="shared" si="6"/>
        <v>0</v>
      </c>
      <c r="G55" s="82" t="str">
        <f t="shared" si="7"/>
        <v>PASS</v>
      </c>
    </row>
    <row r="56" spans="1:7">
      <c r="A56" s="87">
        <v>4</v>
      </c>
      <c r="B56" s="1" t="s">
        <v>112</v>
      </c>
      <c r="C56" s="88">
        <f>Theoretical_Calc!I7</f>
        <v>0.25</v>
      </c>
      <c r="D56" s="88">
        <v>0.25</v>
      </c>
      <c r="E56" s="88">
        <f t="shared" si="5"/>
        <v>0</v>
      </c>
      <c r="F56" s="88">
        <f t="shared" si="6"/>
        <v>0</v>
      </c>
      <c r="G56" s="82" t="str">
        <f t="shared" si="7"/>
        <v>PASS</v>
      </c>
    </row>
    <row r="57" spans="1:7">
      <c r="A57" s="87">
        <v>4</v>
      </c>
      <c r="B57" s="1" t="s">
        <v>113</v>
      </c>
      <c r="C57" s="88">
        <f>Theoretical_Calc!J7</f>
        <v>1</v>
      </c>
      <c r="D57" s="88">
        <v>1</v>
      </c>
      <c r="E57" s="88">
        <f t="shared" si="5"/>
        <v>0</v>
      </c>
      <c r="F57" s="88">
        <f t="shared" si="6"/>
        <v>0</v>
      </c>
      <c r="G57" s="82" t="str">
        <f t="shared" si="7"/>
        <v>PASS</v>
      </c>
    </row>
    <row r="58" spans="1:7">
      <c r="A58" s="87">
        <v>4</v>
      </c>
      <c r="B58" s="1" t="s">
        <v>114</v>
      </c>
      <c r="C58" s="88">
        <f>Theoretical_Calc!K7</f>
        <v>0.89442719099991586</v>
      </c>
      <c r="D58" s="88">
        <v>0.89442719099991586</v>
      </c>
      <c r="E58" s="88">
        <f t="shared" si="5"/>
        <v>0</v>
      </c>
      <c r="F58" s="88">
        <f t="shared" si="6"/>
        <v>0</v>
      </c>
      <c r="G58" s="82" t="str">
        <f t="shared" si="7"/>
        <v>PASS</v>
      </c>
    </row>
    <row r="59" spans="1:7">
      <c r="A59" s="87">
        <v>4</v>
      </c>
      <c r="B59" s="1" t="s">
        <v>115</v>
      </c>
      <c r="C59" s="88">
        <f>Theoretical_Calc!L7</f>
        <v>0.7142857142857143</v>
      </c>
      <c r="D59" s="88">
        <v>0.7142857142857143</v>
      </c>
      <c r="E59" s="88">
        <f t="shared" si="5"/>
        <v>0</v>
      </c>
      <c r="F59" s="88">
        <f t="shared" si="6"/>
        <v>0</v>
      </c>
      <c r="G59" s="82" t="str">
        <f t="shared" si="7"/>
        <v>PASS</v>
      </c>
    </row>
    <row r="60" spans="1:7">
      <c r="A60" s="87">
        <v>4</v>
      </c>
      <c r="B60" s="1" t="s">
        <v>352</v>
      </c>
      <c r="C60" s="88">
        <f>Theoretical_Calc!M7</f>
        <v>2.3326111565635372</v>
      </c>
      <c r="D60" s="88">
        <v>2.3326111565635372</v>
      </c>
      <c r="E60" s="88">
        <f t="shared" si="5"/>
        <v>0</v>
      </c>
      <c r="F60" s="88">
        <f t="shared" si="6"/>
        <v>0</v>
      </c>
      <c r="G60" s="82" t="str">
        <f t="shared" si="7"/>
        <v>PASS</v>
      </c>
    </row>
    <row r="61" spans="1:7">
      <c r="A61" s="87">
        <v>4</v>
      </c>
      <c r="B61" s="1" t="s">
        <v>356</v>
      </c>
      <c r="C61" s="88">
        <f>Theoretical_Calc!N7</f>
        <v>0.42870411435107159</v>
      </c>
      <c r="D61" s="88">
        <v>0.42870411435107159</v>
      </c>
      <c r="E61" s="88">
        <f t="shared" si="5"/>
        <v>0</v>
      </c>
      <c r="F61" s="88">
        <f t="shared" si="6"/>
        <v>0</v>
      </c>
      <c r="G61" s="82" t="str">
        <f t="shared" si="7"/>
        <v>PASS</v>
      </c>
    </row>
    <row r="62" spans="1:7">
      <c r="A62" s="87">
        <v>4</v>
      </c>
      <c r="B62" s="1" t="s">
        <v>359</v>
      </c>
      <c r="C62" s="88">
        <f>Theoretical_Calc!O7</f>
        <v>8.7472918371132646</v>
      </c>
      <c r="D62" s="88">
        <v>8.7472918371132646</v>
      </c>
      <c r="E62" s="88">
        <f t="shared" si="5"/>
        <v>0</v>
      </c>
      <c r="F62" s="88">
        <f t="shared" si="6"/>
        <v>0</v>
      </c>
      <c r="G62" s="82" t="str">
        <f t="shared" si="7"/>
        <v>PASS</v>
      </c>
    </row>
    <row r="63" spans="1:7">
      <c r="A63" s="87">
        <v>4</v>
      </c>
      <c r="B63" s="1" t="s">
        <v>362</v>
      </c>
      <c r="C63" s="88">
        <f>Theoretical_Calc!P7</f>
        <v>12.590128543589639</v>
      </c>
      <c r="D63" s="88">
        <v>12.590128543589639</v>
      </c>
      <c r="E63" s="88">
        <f t="shared" si="5"/>
        <v>0</v>
      </c>
      <c r="F63" s="88">
        <f t="shared" si="6"/>
        <v>0</v>
      </c>
      <c r="G63" s="82" t="str">
        <f t="shared" si="7"/>
        <v>PASS</v>
      </c>
    </row>
    <row r="64" spans="1:7">
      <c r="A64" s="87">
        <v>5</v>
      </c>
      <c r="B64" s="1" t="s">
        <v>329</v>
      </c>
      <c r="C64" s="88">
        <f>Theoretical_Calc!D8</f>
        <v>3.5</v>
      </c>
      <c r="D64" s="88">
        <v>3.5</v>
      </c>
      <c r="E64" s="88">
        <f t="shared" si="5"/>
        <v>0</v>
      </c>
      <c r="F64" s="88">
        <f t="shared" si="6"/>
        <v>0</v>
      </c>
      <c r="G64" s="82" t="str">
        <f t="shared" si="7"/>
        <v>PASS</v>
      </c>
    </row>
    <row r="65" spans="1:7">
      <c r="A65" s="87">
        <v>5</v>
      </c>
      <c r="B65" s="1" t="s">
        <v>334</v>
      </c>
      <c r="C65" s="88">
        <f>Theoretical_Calc!E8</f>
        <v>28.863382504856226</v>
      </c>
      <c r="D65" s="88">
        <v>28.863382504856226</v>
      </c>
      <c r="E65" s="88">
        <f t="shared" si="5"/>
        <v>0</v>
      </c>
      <c r="F65" s="88">
        <f t="shared" si="6"/>
        <v>0</v>
      </c>
      <c r="G65" s="82" t="str">
        <f t="shared" si="7"/>
        <v>PASS</v>
      </c>
    </row>
    <row r="66" spans="1:7">
      <c r="A66" s="87">
        <v>5</v>
      </c>
      <c r="B66" s="1" t="s">
        <v>338</v>
      </c>
      <c r="C66" s="88">
        <f>Theoretical_Calc!F8</f>
        <v>110.49263615140273</v>
      </c>
      <c r="D66" s="88">
        <v>110.49263615140273</v>
      </c>
      <c r="E66" s="88">
        <f t="shared" si="5"/>
        <v>0</v>
      </c>
      <c r="F66" s="88">
        <f t="shared" si="6"/>
        <v>0</v>
      </c>
      <c r="G66" s="82" t="str">
        <f t="shared" si="7"/>
        <v>PASS</v>
      </c>
    </row>
    <row r="67" spans="1:7">
      <c r="A67" s="87">
        <v>5</v>
      </c>
      <c r="B67" s="1" t="s">
        <v>341</v>
      </c>
      <c r="C67" s="88">
        <f>Theoretical_Calc!G8</f>
        <v>220.98527230280547</v>
      </c>
      <c r="D67" s="88">
        <v>220.98527230280547</v>
      </c>
      <c r="E67" s="88">
        <f t="shared" si="5"/>
        <v>0</v>
      </c>
      <c r="F67" s="88">
        <f t="shared" si="6"/>
        <v>0</v>
      </c>
      <c r="G67" s="82" t="str">
        <f t="shared" si="7"/>
        <v>PASS</v>
      </c>
    </row>
    <row r="68" spans="1:7">
      <c r="A68" s="87">
        <v>5</v>
      </c>
      <c r="B68" s="1" t="s">
        <v>346</v>
      </c>
      <c r="C68" s="88">
        <f>Theoretical_Calc!H8</f>
        <v>1.9565594803123161</v>
      </c>
      <c r="D68" s="88">
        <v>1.9565594803123161</v>
      </c>
      <c r="E68" s="88">
        <f t="shared" si="5"/>
        <v>0</v>
      </c>
      <c r="F68" s="88">
        <f t="shared" si="6"/>
        <v>0</v>
      </c>
      <c r="G68" s="82" t="str">
        <f t="shared" si="7"/>
        <v>PASS</v>
      </c>
    </row>
    <row r="69" spans="1:7">
      <c r="A69" s="87">
        <v>5</v>
      </c>
      <c r="B69" s="1" t="s">
        <v>112</v>
      </c>
      <c r="C69" s="88">
        <f>Theoretical_Calc!I8</f>
        <v>0.25</v>
      </c>
      <c r="D69" s="88">
        <v>0.25</v>
      </c>
      <c r="E69" s="88">
        <f t="shared" si="5"/>
        <v>0</v>
      </c>
      <c r="F69" s="88">
        <f t="shared" si="6"/>
        <v>0</v>
      </c>
      <c r="G69" s="82" t="str">
        <f t="shared" si="7"/>
        <v>PASS</v>
      </c>
    </row>
    <row r="70" spans="1:7">
      <c r="A70" s="87">
        <v>5</v>
      </c>
      <c r="B70" s="1" t="s">
        <v>113</v>
      </c>
      <c r="C70" s="88">
        <f>Theoretical_Calc!J8</f>
        <v>2</v>
      </c>
      <c r="D70" s="88">
        <v>2</v>
      </c>
      <c r="E70" s="88">
        <f t="shared" si="5"/>
        <v>0</v>
      </c>
      <c r="F70" s="88">
        <f t="shared" si="6"/>
        <v>0</v>
      </c>
      <c r="G70" s="82" t="str">
        <f t="shared" si="7"/>
        <v>PASS</v>
      </c>
    </row>
    <row r="71" spans="1:7">
      <c r="A71" s="87">
        <v>5</v>
      </c>
      <c r="B71" s="1" t="s">
        <v>114</v>
      </c>
      <c r="C71" s="88">
        <f>Theoretical_Calc!K8</f>
        <v>1.7888543819998317</v>
      </c>
      <c r="D71" s="88">
        <v>1.7888543819998317</v>
      </c>
      <c r="E71" s="88">
        <f t="shared" si="5"/>
        <v>0</v>
      </c>
      <c r="F71" s="88">
        <f t="shared" si="6"/>
        <v>0</v>
      </c>
      <c r="G71" s="82" t="str">
        <f t="shared" si="7"/>
        <v>PASS</v>
      </c>
    </row>
    <row r="72" spans="1:7">
      <c r="A72" s="87">
        <v>5</v>
      </c>
      <c r="B72" s="1" t="s">
        <v>115</v>
      </c>
      <c r="C72" s="88">
        <f>Theoretical_Calc!L8</f>
        <v>0.35714285714285715</v>
      </c>
      <c r="D72" s="88">
        <v>0.35714285714285715</v>
      </c>
      <c r="E72" s="88">
        <f t="shared" si="5"/>
        <v>0</v>
      </c>
      <c r="F72" s="88">
        <f t="shared" si="6"/>
        <v>0</v>
      </c>
      <c r="G72" s="82" t="str">
        <f t="shared" si="7"/>
        <v>PASS</v>
      </c>
    </row>
    <row r="73" spans="1:7">
      <c r="A73" s="87">
        <v>5</v>
      </c>
      <c r="B73" s="1" t="s">
        <v>352</v>
      </c>
      <c r="C73" s="88">
        <f>Theoretical_Calc!M8</f>
        <v>1.1663055782817686</v>
      </c>
      <c r="D73" s="88">
        <v>1.1663055782817686</v>
      </c>
      <c r="E73" s="88">
        <f t="shared" si="5"/>
        <v>0</v>
      </c>
      <c r="F73" s="88">
        <f t="shared" si="6"/>
        <v>0</v>
      </c>
      <c r="G73" s="82" t="str">
        <f t="shared" si="7"/>
        <v>PASS</v>
      </c>
    </row>
    <row r="74" spans="1:7">
      <c r="A74" s="87">
        <v>5</v>
      </c>
      <c r="B74" s="1" t="s">
        <v>356</v>
      </c>
      <c r="C74" s="88">
        <f>Theoretical_Calc!N8</f>
        <v>0.85740822870214317</v>
      </c>
      <c r="D74" s="88">
        <v>0.85740822870214317</v>
      </c>
      <c r="E74" s="88">
        <f t="shared" si="5"/>
        <v>0</v>
      </c>
      <c r="F74" s="88">
        <f t="shared" si="6"/>
        <v>0</v>
      </c>
      <c r="G74" s="82" t="str">
        <f t="shared" si="7"/>
        <v>PASS</v>
      </c>
    </row>
    <row r="75" spans="1:7">
      <c r="A75" s="87">
        <v>5</v>
      </c>
      <c r="B75" s="1" t="s">
        <v>359</v>
      </c>
      <c r="C75" s="88">
        <f>Theoretical_Calc!O8</f>
        <v>1.0934114796391581</v>
      </c>
      <c r="D75" s="88">
        <v>1.0934114796391581</v>
      </c>
      <c r="E75" s="88">
        <f t="shared" si="5"/>
        <v>0</v>
      </c>
      <c r="F75" s="88">
        <f t="shared" si="6"/>
        <v>0</v>
      </c>
      <c r="G75" s="82" t="str">
        <f t="shared" si="7"/>
        <v>PASS</v>
      </c>
    </row>
    <row r="76" spans="1:7">
      <c r="A76" s="87">
        <v>5</v>
      </c>
      <c r="B76" s="1" t="s">
        <v>362</v>
      </c>
      <c r="C76" s="88">
        <f>Theoretical_Calc!P8</f>
        <v>3.1475321358974098</v>
      </c>
      <c r="D76" s="88">
        <v>3.1475321358974098</v>
      </c>
      <c r="E76" s="88">
        <f t="shared" ref="E76:E107" si="8">ABS(C76-D76)</f>
        <v>0</v>
      </c>
      <c r="F76" s="88">
        <f t="shared" ref="F76:F107" si="9">IF(ABS(D76)&lt;0.000000000000001,E76,E76/ABS(D76))</f>
        <v>0</v>
      </c>
      <c r="G76" s="82" t="str">
        <f t="shared" ref="G76:G107" si="10">IF(OR(E76&lt;0.0000000001,F76&lt;0.0000000001),"PASS","CHECK")</f>
        <v>PASS</v>
      </c>
    </row>
    <row r="77" spans="1:7">
      <c r="A77" s="87">
        <v>6</v>
      </c>
      <c r="B77" s="1" t="s">
        <v>329</v>
      </c>
      <c r="C77" s="88">
        <f>Theoretical_Calc!D9</f>
        <v>3.5</v>
      </c>
      <c r="D77" s="88">
        <v>3.5</v>
      </c>
      <c r="E77" s="88">
        <f t="shared" si="8"/>
        <v>0</v>
      </c>
      <c r="F77" s="88">
        <f t="shared" si="9"/>
        <v>0</v>
      </c>
      <c r="G77" s="82" t="str">
        <f t="shared" si="10"/>
        <v>PASS</v>
      </c>
    </row>
    <row r="78" spans="1:7">
      <c r="A78" s="87">
        <v>6</v>
      </c>
      <c r="B78" s="1" t="s">
        <v>334</v>
      </c>
      <c r="C78" s="88">
        <f>Theoretical_Calc!E9</f>
        <v>28.863382504856226</v>
      </c>
      <c r="D78" s="88">
        <v>28.863382504856226</v>
      </c>
      <c r="E78" s="88">
        <f t="shared" si="8"/>
        <v>0</v>
      </c>
      <c r="F78" s="88">
        <f t="shared" si="9"/>
        <v>0</v>
      </c>
      <c r="G78" s="82" t="str">
        <f t="shared" si="10"/>
        <v>PASS</v>
      </c>
    </row>
    <row r="79" spans="1:7">
      <c r="A79" s="87">
        <v>6</v>
      </c>
      <c r="B79" s="1" t="s">
        <v>338</v>
      </c>
      <c r="C79" s="88">
        <f>Theoretical_Calc!F9</f>
        <v>110.49263615140273</v>
      </c>
      <c r="D79" s="88">
        <v>110.49263615140273</v>
      </c>
      <c r="E79" s="88">
        <f t="shared" si="8"/>
        <v>0</v>
      </c>
      <c r="F79" s="88">
        <f t="shared" si="9"/>
        <v>0</v>
      </c>
      <c r="G79" s="82" t="str">
        <f t="shared" si="10"/>
        <v>PASS</v>
      </c>
    </row>
    <row r="80" spans="1:7">
      <c r="A80" s="87">
        <v>6</v>
      </c>
      <c r="B80" s="1" t="s">
        <v>341</v>
      </c>
      <c r="C80" s="88">
        <f>Theoretical_Calc!G9</f>
        <v>220.98527230280547</v>
      </c>
      <c r="D80" s="88">
        <v>220.98527230280547</v>
      </c>
      <c r="E80" s="88">
        <f t="shared" si="8"/>
        <v>0</v>
      </c>
      <c r="F80" s="88">
        <f t="shared" si="9"/>
        <v>0</v>
      </c>
      <c r="G80" s="82" t="str">
        <f t="shared" si="10"/>
        <v>PASS</v>
      </c>
    </row>
    <row r="81" spans="1:7">
      <c r="A81" s="87">
        <v>6</v>
      </c>
      <c r="B81" s="1" t="s">
        <v>346</v>
      </c>
      <c r="C81" s="88">
        <f>Theoretical_Calc!H9</f>
        <v>1.9565594803123161</v>
      </c>
      <c r="D81" s="88">
        <v>1.9565594803123161</v>
      </c>
      <c r="E81" s="88">
        <f t="shared" si="8"/>
        <v>0</v>
      </c>
      <c r="F81" s="88">
        <f t="shared" si="9"/>
        <v>0</v>
      </c>
      <c r="G81" s="82" t="str">
        <f t="shared" si="10"/>
        <v>PASS</v>
      </c>
    </row>
    <row r="82" spans="1:7">
      <c r="A82" s="87">
        <v>6</v>
      </c>
      <c r="B82" s="1" t="s">
        <v>112</v>
      </c>
      <c r="C82" s="88">
        <f>Theoretical_Calc!I9</f>
        <v>0.25</v>
      </c>
      <c r="D82" s="88">
        <v>0.25</v>
      </c>
      <c r="E82" s="88">
        <f t="shared" si="8"/>
        <v>0</v>
      </c>
      <c r="F82" s="88">
        <f t="shared" si="9"/>
        <v>0</v>
      </c>
      <c r="G82" s="82" t="str">
        <f t="shared" si="10"/>
        <v>PASS</v>
      </c>
    </row>
    <row r="83" spans="1:7">
      <c r="A83" s="87">
        <v>6</v>
      </c>
      <c r="B83" s="1" t="s">
        <v>113</v>
      </c>
      <c r="C83" s="88">
        <f>Theoretical_Calc!J9</f>
        <v>3</v>
      </c>
      <c r="D83" s="88">
        <v>3</v>
      </c>
      <c r="E83" s="88">
        <f t="shared" si="8"/>
        <v>0</v>
      </c>
      <c r="F83" s="88">
        <f t="shared" si="9"/>
        <v>0</v>
      </c>
      <c r="G83" s="82" t="str">
        <f t="shared" si="10"/>
        <v>PASS</v>
      </c>
    </row>
    <row r="84" spans="1:7">
      <c r="A84" s="87">
        <v>6</v>
      </c>
      <c r="B84" s="1" t="s">
        <v>114</v>
      </c>
      <c r="C84" s="88">
        <f>Theoretical_Calc!K9</f>
        <v>2.6832815729997477</v>
      </c>
      <c r="D84" s="88">
        <v>2.6832815729997477</v>
      </c>
      <c r="E84" s="88">
        <f t="shared" si="8"/>
        <v>0</v>
      </c>
      <c r="F84" s="88">
        <f t="shared" si="9"/>
        <v>0</v>
      </c>
      <c r="G84" s="82" t="str">
        <f t="shared" si="10"/>
        <v>PASS</v>
      </c>
    </row>
    <row r="85" spans="1:7">
      <c r="A85" s="87">
        <v>6</v>
      </c>
      <c r="B85" s="1" t="s">
        <v>115</v>
      </c>
      <c r="C85" s="88">
        <f>Theoretical_Calc!L9</f>
        <v>0.23809523809523808</v>
      </c>
      <c r="D85" s="88">
        <v>0.23809523809523808</v>
      </c>
      <c r="E85" s="88">
        <f t="shared" si="8"/>
        <v>0</v>
      </c>
      <c r="F85" s="88">
        <f t="shared" si="9"/>
        <v>0</v>
      </c>
      <c r="G85" s="82" t="str">
        <f t="shared" si="10"/>
        <v>PASS</v>
      </c>
    </row>
    <row r="86" spans="1:7">
      <c r="A86" s="87">
        <v>6</v>
      </c>
      <c r="B86" s="1" t="s">
        <v>352</v>
      </c>
      <c r="C86" s="88">
        <f>Theoretical_Calc!M9</f>
        <v>0.77753705218784575</v>
      </c>
      <c r="D86" s="88">
        <v>0.77753705218784575</v>
      </c>
      <c r="E86" s="88">
        <f t="shared" si="8"/>
        <v>0</v>
      </c>
      <c r="F86" s="88">
        <f t="shared" si="9"/>
        <v>0</v>
      </c>
      <c r="G86" s="82" t="str">
        <f t="shared" si="10"/>
        <v>PASS</v>
      </c>
    </row>
    <row r="87" spans="1:7">
      <c r="A87" s="87">
        <v>6</v>
      </c>
      <c r="B87" s="1" t="s">
        <v>356</v>
      </c>
      <c r="C87" s="88">
        <f>Theoretical_Calc!N9</f>
        <v>1.2861123430532146</v>
      </c>
      <c r="D87" s="88">
        <v>1.2861123430532146</v>
      </c>
      <c r="E87" s="88">
        <f t="shared" si="8"/>
        <v>0</v>
      </c>
      <c r="F87" s="88">
        <f t="shared" si="9"/>
        <v>0</v>
      </c>
      <c r="G87" s="82" t="str">
        <f t="shared" si="10"/>
        <v>PASS</v>
      </c>
    </row>
    <row r="88" spans="1:7">
      <c r="A88" s="87">
        <v>6</v>
      </c>
      <c r="B88" s="1" t="s">
        <v>359</v>
      </c>
      <c r="C88" s="88">
        <f>Theoretical_Calc!O9</f>
        <v>0.32397377174493575</v>
      </c>
      <c r="D88" s="88">
        <v>0.32397377174493575</v>
      </c>
      <c r="E88" s="88">
        <f t="shared" si="8"/>
        <v>0</v>
      </c>
      <c r="F88" s="88">
        <f t="shared" si="9"/>
        <v>0</v>
      </c>
      <c r="G88" s="82" t="str">
        <f t="shared" si="10"/>
        <v>PASS</v>
      </c>
    </row>
    <row r="89" spans="1:7">
      <c r="A89" s="87">
        <v>6</v>
      </c>
      <c r="B89" s="1" t="s">
        <v>362</v>
      </c>
      <c r="C89" s="88">
        <f>Theoretical_Calc!P9</f>
        <v>1.3989031715099598</v>
      </c>
      <c r="D89" s="88">
        <v>1.3989031715099598</v>
      </c>
      <c r="E89" s="88">
        <f t="shared" si="8"/>
        <v>0</v>
      </c>
      <c r="F89" s="88">
        <f t="shared" si="9"/>
        <v>0</v>
      </c>
      <c r="G89" s="82" t="str">
        <f t="shared" si="10"/>
        <v>PASS</v>
      </c>
    </row>
    <row r="90" spans="1:7">
      <c r="A90" s="87">
        <v>7</v>
      </c>
      <c r="B90" s="1" t="s">
        <v>329</v>
      </c>
      <c r="C90" s="88">
        <f>Theoretical_Calc!D10</f>
        <v>1.75</v>
      </c>
      <c r="D90" s="88">
        <v>1.75</v>
      </c>
      <c r="E90" s="88">
        <f t="shared" si="8"/>
        <v>0</v>
      </c>
      <c r="F90" s="88">
        <f t="shared" si="9"/>
        <v>0</v>
      </c>
      <c r="G90" s="82" t="str">
        <f t="shared" si="10"/>
        <v>PASS</v>
      </c>
    </row>
    <row r="91" spans="1:7">
      <c r="A91" s="87">
        <v>7</v>
      </c>
      <c r="B91" s="1" t="s">
        <v>334</v>
      </c>
      <c r="C91" s="88">
        <f>Theoretical_Calc!E10</f>
        <v>36.07922813107028</v>
      </c>
      <c r="D91" s="88">
        <v>36.07922813107028</v>
      </c>
      <c r="E91" s="88">
        <f t="shared" si="8"/>
        <v>0</v>
      </c>
      <c r="F91" s="88">
        <f t="shared" si="9"/>
        <v>0</v>
      </c>
      <c r="G91" s="82" t="str">
        <f t="shared" si="10"/>
        <v>PASS</v>
      </c>
    </row>
    <row r="92" spans="1:7">
      <c r="A92" s="87">
        <v>7</v>
      </c>
      <c r="B92" s="1" t="s">
        <v>338</v>
      </c>
      <c r="C92" s="88">
        <f>Theoretical_Calc!F10</f>
        <v>117.3984259108654</v>
      </c>
      <c r="D92" s="88">
        <v>117.3984259108654</v>
      </c>
      <c r="E92" s="88">
        <f t="shared" si="8"/>
        <v>0</v>
      </c>
      <c r="F92" s="88">
        <f t="shared" si="9"/>
        <v>0</v>
      </c>
      <c r="G92" s="82" t="str">
        <f t="shared" si="10"/>
        <v>PASS</v>
      </c>
    </row>
    <row r="93" spans="1:7">
      <c r="A93" s="87">
        <v>7</v>
      </c>
      <c r="B93" s="1" t="s">
        <v>341</v>
      </c>
      <c r="C93" s="88">
        <f>Theoretical_Calc!G10</f>
        <v>234.7968518217308</v>
      </c>
      <c r="D93" s="88">
        <v>234.7968518217308</v>
      </c>
      <c r="E93" s="88">
        <f t="shared" si="8"/>
        <v>0</v>
      </c>
      <c r="F93" s="88">
        <f t="shared" si="9"/>
        <v>0</v>
      </c>
      <c r="G93" s="82" t="str">
        <f t="shared" si="10"/>
        <v>PASS</v>
      </c>
    </row>
    <row r="94" spans="1:7">
      <c r="A94" s="87">
        <v>7</v>
      </c>
      <c r="B94" s="1" t="s">
        <v>346</v>
      </c>
      <c r="C94" s="88">
        <f>Theoretical_Calc!H10</f>
        <v>1.8038587112077265</v>
      </c>
      <c r="D94" s="88">
        <v>1.8038587112077265</v>
      </c>
      <c r="E94" s="88">
        <f t="shared" si="8"/>
        <v>0</v>
      </c>
      <c r="F94" s="88">
        <f t="shared" si="9"/>
        <v>0</v>
      </c>
      <c r="G94" s="82" t="str">
        <f t="shared" si="10"/>
        <v>PASS</v>
      </c>
    </row>
    <row r="95" spans="1:7">
      <c r="A95" s="87">
        <v>7</v>
      </c>
      <c r="B95" s="1" t="s">
        <v>112</v>
      </c>
      <c r="C95" s="88">
        <f>Theoretical_Calc!I10</f>
        <v>6.25E-2</v>
      </c>
      <c r="D95" s="88">
        <v>6.25E-2</v>
      </c>
      <c r="E95" s="88">
        <f t="shared" si="8"/>
        <v>0</v>
      </c>
      <c r="F95" s="88">
        <f t="shared" si="9"/>
        <v>0</v>
      </c>
      <c r="G95" s="82" t="str">
        <f t="shared" si="10"/>
        <v>PASS</v>
      </c>
    </row>
    <row r="96" spans="1:7">
      <c r="A96" s="87">
        <v>7</v>
      </c>
      <c r="B96" s="1" t="s">
        <v>113</v>
      </c>
      <c r="C96" s="88">
        <f>Theoretical_Calc!J10</f>
        <v>0.66666666666666663</v>
      </c>
      <c r="D96" s="88">
        <v>0.66666666666666663</v>
      </c>
      <c r="E96" s="88">
        <f t="shared" si="8"/>
        <v>0</v>
      </c>
      <c r="F96" s="88">
        <f t="shared" si="9"/>
        <v>0</v>
      </c>
      <c r="G96" s="82" t="str">
        <f t="shared" si="10"/>
        <v>PASS</v>
      </c>
    </row>
    <row r="97" spans="1:7">
      <c r="A97" s="87">
        <v>7</v>
      </c>
      <c r="B97" s="1" t="s">
        <v>114</v>
      </c>
      <c r="C97" s="88">
        <f>Theoretical_Calc!K10</f>
        <v>0.97014250014533188</v>
      </c>
      <c r="D97" s="88">
        <v>0.97014250014533188</v>
      </c>
      <c r="E97" s="88">
        <f t="shared" si="8"/>
        <v>0</v>
      </c>
      <c r="F97" s="88">
        <f t="shared" si="9"/>
        <v>0</v>
      </c>
      <c r="G97" s="82" t="str">
        <f t="shared" si="10"/>
        <v>PASS</v>
      </c>
    </row>
    <row r="98" spans="1:7">
      <c r="A98" s="87">
        <v>7</v>
      </c>
      <c r="B98" s="1" t="s">
        <v>115</v>
      </c>
      <c r="C98" s="88">
        <f>Theoretical_Calc!L10</f>
        <v>0.7142857142857143</v>
      </c>
      <c r="D98" s="88">
        <v>0.7142857142857143</v>
      </c>
      <c r="E98" s="88">
        <f t="shared" si="8"/>
        <v>0</v>
      </c>
      <c r="F98" s="88">
        <f t="shared" si="9"/>
        <v>0</v>
      </c>
      <c r="G98" s="82" t="str">
        <f t="shared" si="10"/>
        <v>PASS</v>
      </c>
    </row>
    <row r="99" spans="1:7">
      <c r="A99" s="87">
        <v>7</v>
      </c>
      <c r="B99" s="1" t="s">
        <v>352</v>
      </c>
      <c r="C99" s="88">
        <f>Theoretical_Calc!M10</f>
        <v>2.9157639457044211</v>
      </c>
      <c r="D99" s="88">
        <v>2.9157639457044211</v>
      </c>
      <c r="E99" s="88">
        <f t="shared" si="8"/>
        <v>0</v>
      </c>
      <c r="F99" s="88">
        <f t="shared" si="9"/>
        <v>0</v>
      </c>
      <c r="G99" s="82" t="str">
        <f t="shared" si="10"/>
        <v>PASS</v>
      </c>
    </row>
    <row r="100" spans="1:7">
      <c r="A100" s="87">
        <v>7</v>
      </c>
      <c r="B100" s="1" t="s">
        <v>356</v>
      </c>
      <c r="C100" s="88">
        <f>Theoretical_Calc!N10</f>
        <v>0.3429632914808573</v>
      </c>
      <c r="D100" s="88">
        <v>0.3429632914808573</v>
      </c>
      <c r="E100" s="88">
        <f t="shared" si="8"/>
        <v>0</v>
      </c>
      <c r="F100" s="88">
        <f t="shared" si="9"/>
        <v>0</v>
      </c>
      <c r="G100" s="82" t="str">
        <f t="shared" si="10"/>
        <v>PASS</v>
      </c>
    </row>
    <row r="101" spans="1:7">
      <c r="A101" s="87">
        <v>7</v>
      </c>
      <c r="B101" s="1" t="s">
        <v>359</v>
      </c>
      <c r="C101" s="88">
        <f>Theoretical_Calc!O10</f>
        <v>9.2939975769328438</v>
      </c>
      <c r="D101" s="88">
        <v>9.2939975769328438</v>
      </c>
      <c r="E101" s="88">
        <f t="shared" si="8"/>
        <v>0</v>
      </c>
      <c r="F101" s="88">
        <f t="shared" si="9"/>
        <v>0</v>
      </c>
      <c r="G101" s="82" t="str">
        <f t="shared" si="10"/>
        <v>PASS</v>
      </c>
    </row>
    <row r="102" spans="1:7">
      <c r="A102" s="87">
        <v>7</v>
      </c>
      <c r="B102" s="1" t="s">
        <v>362</v>
      </c>
      <c r="C102" s="88">
        <f>Theoretical_Calc!P10</f>
        <v>13.377011577563991</v>
      </c>
      <c r="D102" s="88">
        <v>13.377011577563991</v>
      </c>
      <c r="E102" s="88">
        <f t="shared" si="8"/>
        <v>0</v>
      </c>
      <c r="F102" s="88">
        <f t="shared" si="9"/>
        <v>0</v>
      </c>
      <c r="G102" s="82" t="str">
        <f t="shared" si="10"/>
        <v>PASS</v>
      </c>
    </row>
    <row r="103" spans="1:7">
      <c r="A103" s="87">
        <v>8</v>
      </c>
      <c r="B103" s="1" t="s">
        <v>329</v>
      </c>
      <c r="C103" s="88">
        <f>Theoretical_Calc!D11</f>
        <v>1.75</v>
      </c>
      <c r="D103" s="88">
        <v>1.75</v>
      </c>
      <c r="E103" s="88">
        <f t="shared" si="8"/>
        <v>0</v>
      </c>
      <c r="F103" s="88">
        <f t="shared" si="9"/>
        <v>0</v>
      </c>
      <c r="G103" s="82" t="str">
        <f t="shared" si="10"/>
        <v>PASS</v>
      </c>
    </row>
    <row r="104" spans="1:7">
      <c r="A104" s="87">
        <v>8</v>
      </c>
      <c r="B104" s="1" t="s">
        <v>334</v>
      </c>
      <c r="C104" s="88">
        <f>Theoretical_Calc!E11</f>
        <v>36.07922813107028</v>
      </c>
      <c r="D104" s="88">
        <v>36.07922813107028</v>
      </c>
      <c r="E104" s="88">
        <f t="shared" si="8"/>
        <v>0</v>
      </c>
      <c r="F104" s="88">
        <f t="shared" si="9"/>
        <v>0</v>
      </c>
      <c r="G104" s="82" t="str">
        <f t="shared" si="10"/>
        <v>PASS</v>
      </c>
    </row>
    <row r="105" spans="1:7">
      <c r="A105" s="87">
        <v>8</v>
      </c>
      <c r="B105" s="1" t="s">
        <v>338</v>
      </c>
      <c r="C105" s="88">
        <f>Theoretical_Calc!F11</f>
        <v>117.3984259108654</v>
      </c>
      <c r="D105" s="88">
        <v>117.3984259108654</v>
      </c>
      <c r="E105" s="88">
        <f t="shared" si="8"/>
        <v>0</v>
      </c>
      <c r="F105" s="88">
        <f t="shared" si="9"/>
        <v>0</v>
      </c>
      <c r="G105" s="82" t="str">
        <f t="shared" si="10"/>
        <v>PASS</v>
      </c>
    </row>
    <row r="106" spans="1:7">
      <c r="A106" s="87">
        <v>8</v>
      </c>
      <c r="B106" s="1" t="s">
        <v>341</v>
      </c>
      <c r="C106" s="88">
        <f>Theoretical_Calc!G11</f>
        <v>234.7968518217308</v>
      </c>
      <c r="D106" s="88">
        <v>234.7968518217308</v>
      </c>
      <c r="E106" s="88">
        <f t="shared" si="8"/>
        <v>0</v>
      </c>
      <c r="F106" s="88">
        <f t="shared" si="9"/>
        <v>0</v>
      </c>
      <c r="G106" s="82" t="str">
        <f t="shared" si="10"/>
        <v>PASS</v>
      </c>
    </row>
    <row r="107" spans="1:7">
      <c r="A107" s="87">
        <v>8</v>
      </c>
      <c r="B107" s="1" t="s">
        <v>346</v>
      </c>
      <c r="C107" s="88">
        <f>Theoretical_Calc!H11</f>
        <v>1.8038587112077265</v>
      </c>
      <c r="D107" s="88">
        <v>1.8038587112077265</v>
      </c>
      <c r="E107" s="88">
        <f t="shared" si="8"/>
        <v>0</v>
      </c>
      <c r="F107" s="88">
        <f t="shared" si="9"/>
        <v>0</v>
      </c>
      <c r="G107" s="82" t="str">
        <f t="shared" si="10"/>
        <v>PASS</v>
      </c>
    </row>
    <row r="108" spans="1:7">
      <c r="A108" s="87">
        <v>8</v>
      </c>
      <c r="B108" s="1" t="s">
        <v>112</v>
      </c>
      <c r="C108" s="88">
        <f>Theoretical_Calc!I11</f>
        <v>6.25E-2</v>
      </c>
      <c r="D108" s="88">
        <v>6.25E-2</v>
      </c>
      <c r="E108" s="88">
        <f t="shared" ref="E108:E139" si="11">ABS(C108-D108)</f>
        <v>0</v>
      </c>
      <c r="F108" s="88">
        <f t="shared" ref="F108:F139" si="12">IF(ABS(D108)&lt;0.000000000000001,E108,E108/ABS(D108))</f>
        <v>0</v>
      </c>
      <c r="G108" s="82" t="str">
        <f t="shared" ref="G108:G139" si="13">IF(OR(E108&lt;0.0000000001,F108&lt;0.0000000001),"PASS","CHECK")</f>
        <v>PASS</v>
      </c>
    </row>
    <row r="109" spans="1:7">
      <c r="A109" s="87">
        <v>8</v>
      </c>
      <c r="B109" s="1" t="s">
        <v>113</v>
      </c>
      <c r="C109" s="88">
        <f>Theoretical_Calc!J11</f>
        <v>1.3333333333333333</v>
      </c>
      <c r="D109" s="88">
        <v>1.3333333333333333</v>
      </c>
      <c r="E109" s="88">
        <f t="shared" si="11"/>
        <v>0</v>
      </c>
      <c r="F109" s="88">
        <f t="shared" si="12"/>
        <v>0</v>
      </c>
      <c r="G109" s="82" t="str">
        <f t="shared" si="13"/>
        <v>PASS</v>
      </c>
    </row>
    <row r="110" spans="1:7">
      <c r="A110" s="87">
        <v>8</v>
      </c>
      <c r="B110" s="1" t="s">
        <v>114</v>
      </c>
      <c r="C110" s="88">
        <f>Theoretical_Calc!K11</f>
        <v>1.9402850002906638</v>
      </c>
      <c r="D110" s="88">
        <v>1.9402850002906638</v>
      </c>
      <c r="E110" s="88">
        <f t="shared" si="11"/>
        <v>0</v>
      </c>
      <c r="F110" s="88">
        <f t="shared" si="12"/>
        <v>0</v>
      </c>
      <c r="G110" s="82" t="str">
        <f t="shared" si="13"/>
        <v>PASS</v>
      </c>
    </row>
    <row r="111" spans="1:7">
      <c r="A111" s="87">
        <v>8</v>
      </c>
      <c r="B111" s="1" t="s">
        <v>115</v>
      </c>
      <c r="C111" s="88">
        <f>Theoretical_Calc!L11</f>
        <v>0.35714285714285715</v>
      </c>
      <c r="D111" s="88">
        <v>0.35714285714285715</v>
      </c>
      <c r="E111" s="88">
        <f t="shared" si="11"/>
        <v>0</v>
      </c>
      <c r="F111" s="88">
        <f t="shared" si="12"/>
        <v>0</v>
      </c>
      <c r="G111" s="82" t="str">
        <f t="shared" si="13"/>
        <v>PASS</v>
      </c>
    </row>
    <row r="112" spans="1:7">
      <c r="A112" s="87">
        <v>8</v>
      </c>
      <c r="B112" s="1" t="s">
        <v>352</v>
      </c>
      <c r="C112" s="88">
        <f>Theoretical_Calc!M11</f>
        <v>1.4578819728522106</v>
      </c>
      <c r="D112" s="88">
        <v>1.4578819728522106</v>
      </c>
      <c r="E112" s="88">
        <f t="shared" si="11"/>
        <v>0</v>
      </c>
      <c r="F112" s="88">
        <f t="shared" si="12"/>
        <v>0</v>
      </c>
      <c r="G112" s="82" t="str">
        <f t="shared" si="13"/>
        <v>PASS</v>
      </c>
    </row>
    <row r="113" spans="1:7">
      <c r="A113" s="87">
        <v>8</v>
      </c>
      <c r="B113" s="1" t="s">
        <v>356</v>
      </c>
      <c r="C113" s="88">
        <f>Theoretical_Calc!N11</f>
        <v>0.6859265829617146</v>
      </c>
      <c r="D113" s="88">
        <v>0.6859265829617146</v>
      </c>
      <c r="E113" s="88">
        <f t="shared" si="11"/>
        <v>0</v>
      </c>
      <c r="F113" s="88">
        <f t="shared" si="12"/>
        <v>0</v>
      </c>
      <c r="G113" s="82" t="str">
        <f t="shared" si="13"/>
        <v>PASS</v>
      </c>
    </row>
    <row r="114" spans="1:7">
      <c r="A114" s="87">
        <v>8</v>
      </c>
      <c r="B114" s="1" t="s">
        <v>359</v>
      </c>
      <c r="C114" s="88">
        <f>Theoretical_Calc!O11</f>
        <v>1.1617496971166055</v>
      </c>
      <c r="D114" s="88">
        <v>1.1617496971166055</v>
      </c>
      <c r="E114" s="88">
        <f t="shared" si="11"/>
        <v>0</v>
      </c>
      <c r="F114" s="88">
        <f t="shared" si="12"/>
        <v>0</v>
      </c>
      <c r="G114" s="82" t="str">
        <f t="shared" si="13"/>
        <v>PASS</v>
      </c>
    </row>
    <row r="115" spans="1:7">
      <c r="A115" s="87">
        <v>8</v>
      </c>
      <c r="B115" s="1" t="s">
        <v>362</v>
      </c>
      <c r="C115" s="88">
        <f>Theoretical_Calc!P11</f>
        <v>3.3442528943909977</v>
      </c>
      <c r="D115" s="88">
        <v>3.3442528943909977</v>
      </c>
      <c r="E115" s="88">
        <f t="shared" si="11"/>
        <v>0</v>
      </c>
      <c r="F115" s="88">
        <f t="shared" si="12"/>
        <v>0</v>
      </c>
      <c r="G115" s="82" t="str">
        <f t="shared" si="13"/>
        <v>PASS</v>
      </c>
    </row>
    <row r="116" spans="1:7">
      <c r="A116" s="87">
        <v>9</v>
      </c>
      <c r="B116" s="1" t="s">
        <v>329</v>
      </c>
      <c r="C116" s="88">
        <f>Theoretical_Calc!D12</f>
        <v>1.75</v>
      </c>
      <c r="D116" s="88">
        <v>1.75</v>
      </c>
      <c r="E116" s="88">
        <f t="shared" si="11"/>
        <v>0</v>
      </c>
      <c r="F116" s="88">
        <f t="shared" si="12"/>
        <v>0</v>
      </c>
      <c r="G116" s="82" t="str">
        <f t="shared" si="13"/>
        <v>PASS</v>
      </c>
    </row>
    <row r="117" spans="1:7">
      <c r="A117" s="87">
        <v>9</v>
      </c>
      <c r="B117" s="1" t="s">
        <v>334</v>
      </c>
      <c r="C117" s="88">
        <f>Theoretical_Calc!E12</f>
        <v>36.07922813107028</v>
      </c>
      <c r="D117" s="88">
        <v>36.07922813107028</v>
      </c>
      <c r="E117" s="88">
        <f t="shared" si="11"/>
        <v>0</v>
      </c>
      <c r="F117" s="88">
        <f t="shared" si="12"/>
        <v>0</v>
      </c>
      <c r="G117" s="82" t="str">
        <f t="shared" si="13"/>
        <v>PASS</v>
      </c>
    </row>
    <row r="118" spans="1:7">
      <c r="A118" s="87">
        <v>9</v>
      </c>
      <c r="B118" s="1" t="s">
        <v>338</v>
      </c>
      <c r="C118" s="88">
        <f>Theoretical_Calc!F12</f>
        <v>117.3984259108654</v>
      </c>
      <c r="D118" s="88">
        <v>117.3984259108654</v>
      </c>
      <c r="E118" s="88">
        <f t="shared" si="11"/>
        <v>0</v>
      </c>
      <c r="F118" s="88">
        <f t="shared" si="12"/>
        <v>0</v>
      </c>
      <c r="G118" s="82" t="str">
        <f t="shared" si="13"/>
        <v>PASS</v>
      </c>
    </row>
    <row r="119" spans="1:7">
      <c r="A119" s="87">
        <v>9</v>
      </c>
      <c r="B119" s="1" t="s">
        <v>341</v>
      </c>
      <c r="C119" s="88">
        <f>Theoretical_Calc!G12</f>
        <v>234.7968518217308</v>
      </c>
      <c r="D119" s="88">
        <v>234.7968518217308</v>
      </c>
      <c r="E119" s="88">
        <f t="shared" si="11"/>
        <v>0</v>
      </c>
      <c r="F119" s="88">
        <f t="shared" si="12"/>
        <v>0</v>
      </c>
      <c r="G119" s="82" t="str">
        <f t="shared" si="13"/>
        <v>PASS</v>
      </c>
    </row>
    <row r="120" spans="1:7">
      <c r="A120" s="87">
        <v>9</v>
      </c>
      <c r="B120" s="1" t="s">
        <v>346</v>
      </c>
      <c r="C120" s="88">
        <f>Theoretical_Calc!H12</f>
        <v>1.8038587112077265</v>
      </c>
      <c r="D120" s="88">
        <v>1.8038587112077265</v>
      </c>
      <c r="E120" s="88">
        <f t="shared" si="11"/>
        <v>0</v>
      </c>
      <c r="F120" s="88">
        <f t="shared" si="12"/>
        <v>0</v>
      </c>
      <c r="G120" s="82" t="str">
        <f t="shared" si="13"/>
        <v>PASS</v>
      </c>
    </row>
    <row r="121" spans="1:7">
      <c r="A121" s="87">
        <v>9</v>
      </c>
      <c r="B121" s="1" t="s">
        <v>112</v>
      </c>
      <c r="C121" s="88">
        <f>Theoretical_Calc!I12</f>
        <v>6.25E-2</v>
      </c>
      <c r="D121" s="88">
        <v>6.25E-2</v>
      </c>
      <c r="E121" s="88">
        <f t="shared" si="11"/>
        <v>0</v>
      </c>
      <c r="F121" s="88">
        <f t="shared" si="12"/>
        <v>0</v>
      </c>
      <c r="G121" s="82" t="str">
        <f t="shared" si="13"/>
        <v>PASS</v>
      </c>
    </row>
    <row r="122" spans="1:7">
      <c r="A122" s="87">
        <v>9</v>
      </c>
      <c r="B122" s="1" t="s">
        <v>113</v>
      </c>
      <c r="C122" s="88">
        <f>Theoretical_Calc!J12</f>
        <v>2</v>
      </c>
      <c r="D122" s="88">
        <v>2</v>
      </c>
      <c r="E122" s="88">
        <f t="shared" si="11"/>
        <v>0</v>
      </c>
      <c r="F122" s="88">
        <f t="shared" si="12"/>
        <v>0</v>
      </c>
      <c r="G122" s="82" t="str">
        <f t="shared" si="13"/>
        <v>PASS</v>
      </c>
    </row>
    <row r="123" spans="1:7">
      <c r="A123" s="87">
        <v>9</v>
      </c>
      <c r="B123" s="1" t="s">
        <v>114</v>
      </c>
      <c r="C123" s="88">
        <f>Theoretical_Calc!K12</f>
        <v>2.9104275004359956</v>
      </c>
      <c r="D123" s="88">
        <v>2.9104275004359956</v>
      </c>
      <c r="E123" s="88">
        <f t="shared" si="11"/>
        <v>0</v>
      </c>
      <c r="F123" s="88">
        <f t="shared" si="12"/>
        <v>0</v>
      </c>
      <c r="G123" s="82" t="str">
        <f t="shared" si="13"/>
        <v>PASS</v>
      </c>
    </row>
    <row r="124" spans="1:7">
      <c r="A124" s="87">
        <v>9</v>
      </c>
      <c r="B124" s="1" t="s">
        <v>115</v>
      </c>
      <c r="C124" s="88">
        <f>Theoretical_Calc!L12</f>
        <v>0.23809523809523808</v>
      </c>
      <c r="D124" s="88">
        <v>0.23809523809523808</v>
      </c>
      <c r="E124" s="88">
        <f t="shared" si="11"/>
        <v>0</v>
      </c>
      <c r="F124" s="88">
        <f t="shared" si="12"/>
        <v>0</v>
      </c>
      <c r="G124" s="82" t="str">
        <f t="shared" si="13"/>
        <v>PASS</v>
      </c>
    </row>
    <row r="125" spans="1:7">
      <c r="A125" s="87">
        <v>9</v>
      </c>
      <c r="B125" s="1" t="s">
        <v>352</v>
      </c>
      <c r="C125" s="88">
        <f>Theoretical_Calc!M12</f>
        <v>0.97192131523480707</v>
      </c>
      <c r="D125" s="88">
        <v>0.97192131523480707</v>
      </c>
      <c r="E125" s="88">
        <f t="shared" si="11"/>
        <v>0</v>
      </c>
      <c r="F125" s="88">
        <f t="shared" si="12"/>
        <v>0</v>
      </c>
      <c r="G125" s="82" t="str">
        <f t="shared" si="13"/>
        <v>PASS</v>
      </c>
    </row>
    <row r="126" spans="1:7">
      <c r="A126" s="87">
        <v>9</v>
      </c>
      <c r="B126" s="1" t="s">
        <v>356</v>
      </c>
      <c r="C126" s="88">
        <f>Theoretical_Calc!N12</f>
        <v>1.0288898744425719</v>
      </c>
      <c r="D126" s="88">
        <v>1.0288898744425719</v>
      </c>
      <c r="E126" s="88">
        <f t="shared" si="11"/>
        <v>0</v>
      </c>
      <c r="F126" s="88">
        <f t="shared" si="12"/>
        <v>0</v>
      </c>
      <c r="G126" s="82" t="str">
        <f t="shared" si="13"/>
        <v>PASS</v>
      </c>
    </row>
    <row r="127" spans="1:7">
      <c r="A127" s="87">
        <v>9</v>
      </c>
      <c r="B127" s="1" t="s">
        <v>359</v>
      </c>
      <c r="C127" s="88">
        <f>Theoretical_Calc!O12</f>
        <v>0.34422213247899425</v>
      </c>
      <c r="D127" s="88">
        <v>0.34422213247899425</v>
      </c>
      <c r="E127" s="88">
        <f t="shared" si="11"/>
        <v>0</v>
      </c>
      <c r="F127" s="88">
        <f t="shared" si="12"/>
        <v>0</v>
      </c>
      <c r="G127" s="82" t="str">
        <f t="shared" si="13"/>
        <v>PASS</v>
      </c>
    </row>
    <row r="128" spans="1:7">
      <c r="A128" s="89">
        <v>9</v>
      </c>
      <c r="B128" s="83" t="s">
        <v>362</v>
      </c>
      <c r="C128" s="90">
        <f>Theoretical_Calc!P12</f>
        <v>1.4863346197293323</v>
      </c>
      <c r="D128" s="90">
        <v>1.4863346197293323</v>
      </c>
      <c r="E128" s="90">
        <f t="shared" si="11"/>
        <v>0</v>
      </c>
      <c r="F128" s="90">
        <f t="shared" si="12"/>
        <v>0</v>
      </c>
      <c r="G128" s="84" t="str">
        <f t="shared" si="13"/>
        <v>PASS</v>
      </c>
    </row>
  </sheetData>
  <mergeCells count="6">
    <mergeCell ref="I44:Q48"/>
    <mergeCell ref="A1:Q2"/>
    <mergeCell ref="A4:Q4"/>
    <mergeCell ref="A5:Q8"/>
    <mergeCell ref="I29:Q29"/>
    <mergeCell ref="I43:Q43"/>
  </mergeCells>
  <conditionalFormatting sqref="G12:G128">
    <cfRule type="expression" dxfId="2" priority="1">
      <formula>G12="PASS"</formula>
    </cfRule>
    <cfRule type="expression" dxfId="1" priority="2">
      <formula>G12="CHECK"</formula>
    </cfRule>
  </conditionalFormatting>
  <conditionalFormatting sqref="Q31:Q39">
    <cfRule type="expression" dxfId="0" priority="3">
      <formula>Q31="PASS"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Executive_Summary</vt:lpstr>
      <vt:lpstr>Inputs_Theory</vt:lpstr>
      <vt:lpstr>Theoretical_Calc</vt:lpstr>
      <vt:lpstr>FEA_Setup_QA</vt:lpstr>
      <vt:lpstr>FEA_Raw</vt:lpstr>
      <vt:lpstr>Derived_Metrics</vt:lpstr>
      <vt:lpstr>Combined_Ranking</vt:lpstr>
      <vt:lpstr>Factor_Effects</vt:lpstr>
      <vt:lpstr>Force_Curves</vt:lpstr>
      <vt:lpstr>Run_by_Run</vt:lpstr>
      <vt:lpstr>Source_Index</vt:lpstr>
      <vt:lpstr>Calculation_Audit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Adrian Bautista</cp:lastModifiedBy>
  <dcterms:modified xsi:type="dcterms:W3CDTF">2026-08-11T07:24:42Z</dcterms:modified>
</cp:coreProperties>
</file>